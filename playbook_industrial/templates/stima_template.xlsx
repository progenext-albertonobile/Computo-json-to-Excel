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0_COMMESSE\GX25 - GRUPPO CLIMA\GX2514 - GRUPPO CLIMA  - ECO SHOPPER\PRELIMINARE\"/>
    </mc:Choice>
  </mc:AlternateContent>
  <xr:revisionPtr revIDLastSave="0" documentId="13_ncr:1_{00D2F2B2-70D3-489D-BED0-0FD7DB71C6DF}" xr6:coauthVersionLast="47" xr6:coauthVersionMax="47" xr10:uidLastSave="{00000000-0000-0000-0000-000000000000}"/>
  <bookViews>
    <workbookView xWindow="-120" yWindow="-120" windowWidth="29040" windowHeight="15720" xr2:uid="{C9CCDCF5-D5C2-47BD-8111-C56B7C305CA0}"/>
  </bookViews>
  <sheets>
    <sheet name="SC_C_FULL" sheetId="1" r:id="rId1"/>
  </sheets>
  <definedNames>
    <definedName name="_xlnm.Print_Titles" localSheetId="0">SC_C_FULL!$2:$5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4" i="1" l="1"/>
  <c r="F62" i="1"/>
  <c r="F60" i="1"/>
  <c r="F59" i="1"/>
  <c r="F58" i="1"/>
  <c r="F56" i="1"/>
  <c r="F55" i="1"/>
  <c r="F54" i="1"/>
  <c r="F50" i="1"/>
  <c r="F48" i="1"/>
  <c r="F47" i="1"/>
  <c r="F46" i="1"/>
  <c r="F45" i="1"/>
  <c r="F43" i="1"/>
  <c r="F42" i="1"/>
  <c r="F41" i="1"/>
  <c r="F40" i="1"/>
  <c r="F39" i="1"/>
  <c r="F38" i="1"/>
  <c r="F36" i="1"/>
  <c r="F35" i="1"/>
  <c r="F51" i="1" s="1"/>
  <c r="F33" i="1"/>
  <c r="F32" i="1"/>
  <c r="F30" i="1"/>
  <c r="F29" i="1"/>
  <c r="F28" i="1"/>
  <c r="F24" i="1"/>
  <c r="F22" i="1"/>
  <c r="F20" i="1"/>
  <c r="F19" i="1"/>
  <c r="F18" i="1"/>
  <c r="F17" i="1"/>
  <c r="F16" i="1"/>
  <c r="F14" i="1"/>
  <c r="F11" i="1"/>
  <c r="F12" i="1"/>
  <c r="F10" i="1"/>
  <c r="F63" i="1"/>
  <c r="F8" i="1"/>
  <c r="G63" i="1"/>
  <c r="B63" i="1"/>
  <c r="A57" i="1"/>
  <c r="A53" i="1"/>
  <c r="B51" i="1"/>
  <c r="B25" i="1"/>
  <c r="F25" i="1" l="1"/>
  <c r="G51" i="1" l="1"/>
  <c r="G25" i="1"/>
  <c r="G64" i="1" l="1"/>
</calcChain>
</file>

<file path=xl/sharedStrings.xml><?xml version="1.0" encoding="utf-8"?>
<sst xmlns="http://schemas.openxmlformats.org/spreadsheetml/2006/main" count="120" uniqueCount="114">
  <si>
    <t xml:space="preserve">  STIMA PRELIMINARE — ECO SHOPPER / 2WIN SRL  |  Via dei Falegnami 1/D, Castello d'Argile (BO)  | </t>
  </si>
  <si>
    <t>Articolo / Descrizione</t>
  </si>
  <si>
    <t>Marca / Rif.</t>
  </si>
  <si>
    <t>Specifiche tecniche e note</t>
  </si>
  <si>
    <t>q.ta</t>
  </si>
  <si>
    <t xml:space="preserve">  Coefficienti individuali per riga (non uniformi) — vedi colonne I, K, M, P</t>
  </si>
  <si>
    <t xml:space="preserve">  ━━━━━━  SEZIONE 1 -  FOTOVOLTAICO — 35 kWp  ━━━━━━</t>
  </si>
  <si>
    <t xml:space="preserve">  FORNITURA PANNELLI FOTOVOLTAICI</t>
  </si>
  <si>
    <t>Pannelli FV JKM460N-48HL4M-BDV-Z3-EU — n.76 pz.</t>
  </si>
  <si>
    <t>JinkoSolar Tiger Neo</t>
  </si>
  <si>
    <t>460 Wp STC, N-type TOPCon bifacciale dual glass, η=23,02%, bifacialità φ=80%, T.C.Pmax −0,29%/°C (migliore del Si p-type). Garanzia prodotto 15a / potenza lineare 30a (87,4% a 30a, deg. 0,40%/a). Configurazione: 76 pannelli × 460 Wp = 35.0 kWp.</t>
  </si>
  <si>
    <t xml:space="preserve">  INVERTER, MISURA E PROTEZIONI</t>
  </si>
  <si>
    <t>Inverter ibrido trifase DC-coupled 35 kW</t>
  </si>
  <si>
    <t>SMA / Fronius / Huawei (da definire in fase esecutiva)</t>
  </si>
  <si>
    <t>400V 3+N+PE 50Hz, predisposizione storage DC-coupled nativa, ≥2 MPPT indipendenti, monitoraggio remoto integrato, efficienza max &gt;98%, conforme CEI 0-21, gestione SmartGrid per priorità autoconsumo.</t>
  </si>
  <si>
    <t>Quadro AC protezioni FV + SPI interno</t>
  </si>
  <si>
    <t>MCCB AC lato rete, SPD Classe II AC, sezionatore con blocco-porta, contattore, morsettiere, armadio IP65.</t>
  </si>
  <si>
    <t>Contatore bidirezionale produzione + scambio</t>
  </si>
  <si>
    <t xml:space="preserve">  STRUTTURE DI MONTAGGIO — TETTO PIANO</t>
  </si>
  <si>
    <t>Struttura ballast tetto piano, inclinazione 35° — n.76 pannelli</t>
  </si>
  <si>
    <t>Schletter / K2 / Aerocompact</t>
  </si>
  <si>
    <t>Profili alluminio anodizzato, supporti acciaio zincato, inclinazione 35°, zavorra blocchi cls prefabbricati (no foratura copertura). Certificata carichi vento zona padana (EN 1991-1-4) e neve Zona I. NOTA: accesso copertura con scala permanente (esistente) — materiali saliti con tiraggio manuale, NO ponteggio. Pitch inter-fila 4,0m → area occupata 342 m² su ~580 m² disponibili.</t>
  </si>
  <si>
    <t xml:space="preserve">  CABLAGGIO DC / AC / MESSA A TERRA</t>
  </si>
  <si>
    <t>Cavi DC 4mm² 1.800V doppio isolamento UV-resist.</t>
  </si>
  <si>
    <t>Cavi unipolari +/− dalle stringhe all'inverter, connettori MC4, passaggi stagni copertura, protezione meccanica.</t>
  </si>
  <si>
    <t>Protezioni lato DC: scatole stringa + fusibili + sezionatore</t>
  </si>
  <si>
    <t>Box stringa IP65 per ogni stringa, fusibili 15A per polo, sezionatore DC 4P, SPD Classe II DC.</t>
  </si>
  <si>
    <t>Cavo AC trifase inverter → quadro AC</t>
  </si>
  <si>
    <t>FG7OR 5G10mm² (stima 30m copertura→QE), conduit staffato.</t>
  </si>
  <si>
    <t>Messa a terra strutture FV + equipotenziale</t>
  </si>
  <si>
    <t>Anello equipotenziale strutture metalliche, picchetto dispersore dedicato.</t>
  </si>
  <si>
    <t>Conduit, passaggi copertura stagni, staffaggi</t>
  </si>
  <si>
    <t>Conduit corrugato UV-resist. in copertura, passaggi parete/copertura stagni, fascette inox, supporti cavo su struttura.</t>
  </si>
  <si>
    <t xml:space="preserve">  PREDISPOSIZIONE ACCUMULO</t>
  </si>
  <si>
    <t>Predisposizione accumulo batterie DC-coupled</t>
  </si>
  <si>
    <t>Cavi DC dall'inverter ibrido al vano batteria (stima 5m), morsettiera dedicata etichettata, spazio riservato armadio inverter. BATTERIA NON INCLUSA</t>
  </si>
  <si>
    <t xml:space="preserve">  TRASPORTO</t>
  </si>
  <si>
    <t>Trasporto materiali FV (pannelli + inverter + struttura)</t>
  </si>
  <si>
    <t xml:space="preserve">  SUBTOTALE LAVORI — IVA esclusa</t>
  </si>
  <si>
    <t xml:space="preserve">  ━━━━━━  SEZIONE 2 - PDC IDRONICA  ━━━━━━</t>
  </si>
  <si>
    <t xml:space="preserve">  DEMOLIZIONE E SMALTIMENTO — CENTRALE TERMICA</t>
  </si>
  <si>
    <t>Smontaggio e rottamazione n.2 caldaie Baltur PERFECTA 35 RK</t>
  </si>
  <si>
    <t>Smontaggio meccanico, disconnessione idraulica e gas; rottamazione (nessun F-gas nelle caldaie). Ripristino raccordi, tappatura linea gas a monte del rubinetto in C.T.</t>
  </si>
  <si>
    <t>Smontaggio e rottamazione n.2 circolatori gemellari Wilo TOP-SD esistenti</t>
  </si>
  <si>
    <t>Wilo TOP-SD 32/7 + TOP-SD 50/10</t>
  </si>
  <si>
    <t>Smontaggio n.2 unità gemellari (1 girante attiva + 1 stand-by per unità), come da rilievo fotografico. Motori trifase a gradini (non EC): incompatibili con il controllo inverter della PDC e ad alta inefficienza. Rottamazione RAEE.</t>
  </si>
  <si>
    <t>Smontaggio totale tubazioni, valvole, coibentazione esistente in C.T.</t>
  </si>
  <si>
    <t xml:space="preserve">  FORNITURA PDC</t>
  </si>
  <si>
    <t>THAITI 122 P0 — ElectaMAXI-ECO</t>
  </si>
  <si>
    <t>RHOSS</t>
  </si>
  <si>
    <t>PRIMO AVVIAMENTO — obbligatorio garanzia 24 mesi</t>
  </si>
  <si>
    <t>Tecnico autorizzato RHOSS</t>
  </si>
  <si>
    <t>Verifica parametri, taratura, registrazione garanzia. Garanzia decorre da data avviamento (max 30 mesi da consegna).</t>
  </si>
  <si>
    <t xml:space="preserve">  DISGIUNTORE IDRAULICO E ACCESSORI RHOSS</t>
  </si>
  <si>
    <t>KAI-110 — Serbatoio inerziale / disgiuntore idraulico</t>
  </si>
  <si>
    <t>KRIT — Resistenza elettrica integrativa</t>
  </si>
  <si>
    <t xml:space="preserve">  IMPIANTO IDRAULICO — RIFACIMENTO TOTALE CENTRALE TERMICA</t>
  </si>
  <si>
    <t>Tubazioni acciaio nero saldato EN 10255 — rifacimento totale C.T.</t>
  </si>
  <si>
    <t>Tubo nero EN 10255 ser. M</t>
  </si>
  <si>
    <t>Rifacimento completo rete idraulica in C.T.: tubo acciaio nero saldato EN 10255 serie M, diametri DN32÷DN50÷DN65 come da progetto esecutivo. Include: taglio, filettatura o saldatura, raccorderia, staffaggi a muro, collaudo idraulico a 6 bar. Stima: ~30 m lineari totali in C.T.</t>
  </si>
  <si>
    <t>Coibentazione tubazioni C.T. — nuova, totale</t>
  </si>
  <si>
    <t>Armaflex / K-Flex</t>
  </si>
  <si>
    <t>Guaina elastomerica a cellule chiuse, spessore ≥ 25mm per DN50+, ≥ 19mm per DN≤40, finitura con nastro adesivo. Copre tutte le tubazioni nuove in C.T. incluse raccorderie e valvole.</t>
  </si>
  <si>
    <t>Wilo Stratos MAXO / Grundfos MAGNA3</t>
  </si>
  <si>
    <t>Circuito secondario PDC → KAI → distribuzione radiante: 1× circolatore EC a velocità variabile DN50, P.U. max 340 W, controllo integrato ΔP costante/variabile, Classe energetica A (risparmio ~85% vs TOP-SD 50/10 esistente a 880W). Sostituzione 1 gemellare TOP-SD 50/10 esistente.</t>
  </si>
  <si>
    <t>Wilo Stratos PICO / Grundfos MAGNA3</t>
  </si>
  <si>
    <t>1× circolatore EC a velocità variabile DN32 per circuito di zona (sostituzione gemellare TOP-SD 32/7 esistente). P.U. max 75 W vs 200 W esistente.</t>
  </si>
  <si>
    <t>Valvolame di intercettazione e ritegno — nuovi per PDC e circuiti</t>
  </si>
  <si>
    <t>Per ogni PDC: rubinetto sferico DN40 andata/ritorno + ritegno + filtro Y bronzo; vaso espansione membrana 24L; VS tarata 3 bar; manometro; sfiati aria automatici; raccordi antivibranti (n.4 flessibili). Materiale stimato a corpo per C.T. rifatta.</t>
  </si>
  <si>
    <t>Bilanciamento idraulico circuiti radianti a pavimento</t>
  </si>
  <si>
    <t xml:space="preserve">  IMPIANTO ELETTRICO — QUADRO E ALIMENTAZIONI PDC</t>
  </si>
  <si>
    <t>Quadro elettrico C.T. — nuovo, dedicato PDC</t>
  </si>
  <si>
    <t>Hager / Legrand</t>
  </si>
  <si>
    <t>Nuovo quadro dedicato in sostituzione del vecchio: sezioni GENERALE (interruttore magnetotermico 4P+N 63A), PDC 1 (MCCB 4P 25A + diff. 300mA), PDC 2 (MCCB 4P 25A + diff. 300mA), CIRCOLATORI (MCB 4P 10A × 2), CONTROLLO/AUSILIARI (MCB 1P × 4), SPD Classe II, morsettiere, schemi elettrici. Armadio plastica IP65.</t>
  </si>
  <si>
    <t>Cavi alimentazione PDC trifase 400V</t>
  </si>
  <si>
    <t>N.2 linee FG7OR 4G10mm² dal QE C.T. alle unità esterne (stima 2×15m = 30m totali), conduit corrugato staffato, passaggi parete, fascette inox.</t>
  </si>
  <si>
    <t>Cavi segnale: bus M/S + sonda T aria esterna + conduit</t>
  </si>
  <si>
    <t>Cavo RS485 collegamento master/slave (≤15m), cavo sonda temperatura aria esterna, conduit segnali separato dai cavi forza, etichettatura.</t>
  </si>
  <si>
    <t>Messa a terra strutture + equipotenziale unità esterne</t>
  </si>
  <si>
    <t>Conduttori PE, morsetti equipotenziali, verifica e adeguamento dispersore esistente.</t>
  </si>
  <si>
    <t>Chiusura contratto gas + disattivazione impianto in C.T.</t>
  </si>
  <si>
    <t>Hera Comm / impiantista abilitato</t>
  </si>
  <si>
    <t>Richiesta formale chiusura PDR (Hera Comm), intervento gestore per tappatura PDR lato strada, smontaggio raccorderia gas in C.T., tappatura valvola principale. La chiusura PDR elimina la quota fissa gas (636 €/anno).</t>
  </si>
  <si>
    <t>Trasporto materiali e macchine</t>
  </si>
  <si>
    <t>RHOSS + altri fornitori</t>
  </si>
  <si>
    <t>RHOSS: collettame P.C. (da offerta 2× THAITI 118: 466 €, interpolato per 122). Varie: tubazioni, quadri, circolatori.</t>
  </si>
  <si>
    <t xml:space="preserve">  ━━━━━━ PRESTAZIONI TECNICHE  ━━━━━━</t>
  </si>
  <si>
    <t>Progettazione esecutiva</t>
  </si>
  <si>
    <t>Direzione lavori e assistenza al collaudo</t>
  </si>
  <si>
    <t>Pratiche GSE — comunicazione preventiva + fine lavori + RD</t>
  </si>
  <si>
    <t xml:space="preserve">Portale GSE: comunicazione preventiva impianto, dichiarazione fine lavori, iscrizione RD (Ritiro dedicato) </t>
  </si>
  <si>
    <t>Progetto esecutivo meccanico</t>
  </si>
  <si>
    <t>Progetto esecutivo elettrico</t>
  </si>
  <si>
    <t xml:space="preserve">  ━━━━━━  GESTIONE CONTO TERMICO 3.0  ━━━━━━</t>
  </si>
  <si>
    <t>Gestione Incentivo Conto Termico 3.0</t>
  </si>
  <si>
    <t>Assistenza tecnica specifica per ottenimento Incentivo Conto Termico 3.0
Inserimento pratica su Portaltermico GSE
Supporto post-erogazione incentivo e assistenza in caso di verifiche
Coordinamento burocratico tra committente e installatore</t>
  </si>
  <si>
    <t xml:space="preserve">  TOTALE LAVORI — IVA esclusa</t>
  </si>
  <si>
    <t>Connessione E-Distribuzione — preventivo e iter allacciamento</t>
  </si>
  <si>
    <t>E-DISTRIBUZIONE S.p.A.</t>
  </si>
  <si>
    <t>Preventivo connessione BT trifase, adeguamento protezione interfaccia (SPI se &gt; soglia), iter autorizzativo stimato 60-90 giorni. IMPORTO DA PREVENTIVO FORMALE — stimato a upper bound prudenziale.</t>
  </si>
  <si>
    <t>Nota</t>
  </si>
  <si>
    <t xml:space="preserve">  SCENARIO C — Fotovoltaico 35 kWp + Pompa Di Calore Idronica  [RACCOMANDATO con Conto Termico 3.0]</t>
  </si>
  <si>
    <t xml:space="preserve">  ESCLUSIONI</t>
  </si>
  <si>
    <t>STIMA 
€</t>
  </si>
  <si>
    <t>PREZZO UNITARIO
€</t>
  </si>
  <si>
    <t>PREZZO TOTALE
€</t>
  </si>
  <si>
    <t>13 Aprile 2026</t>
  </si>
  <si>
    <t>Tubo ferro verniciato rosso esistente (diametri vari DN32÷DN50÷DN65 stimati), valvole a sfera e di ritegno, staffaggi, vaso espansione, coibentazione. Smaltimento come ferraglia + RAEE dove applicabile. Impianto secondario nei locali (manifold radiante + tubazioni) ESCLUSO — nuovo e tenuto.</t>
  </si>
  <si>
    <t>PDC reversibile monoblocco R32 DC inverter, modulo idraulico integrato con circolatore EC primario, Pdesignh 29 kW EN14825 / SCOP 4,53 BT 35°C / A+++ — Coppia M/S: Pdesignh_tot 44 kW —  Include KSA antivibranti.</t>
  </si>
  <si>
    <t>110 litri — disgiuntore idraulico primario (PDC) / secondario (distribuzione)</t>
  </si>
  <si>
    <t>Integrazione per punte di carico sotto −5°C. Potenza da definire in esecutivo (indicativa 6÷9 kW).</t>
  </si>
  <si>
    <t>Circolatore Zona 1 DN50</t>
  </si>
  <si>
    <t>Circolatore Zona 2 DN32</t>
  </si>
  <si>
    <t>Ribilanciamento manuale a fine lavori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</si>
</sst>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1"/>
      <color theme="1"/>
      <name val="Roboto"/>
    </font>
    <font>
      <b/>
      <sz val="8"/>
      <color rgb="FFFFFFFF"/>
      <name val="Roboto"/>
    </font>
    <font>
      <i/>
      <sz val="7"/>
      <color rgb="FFCCCCCC"/>
      <name val="Roboto"/>
    </font>
    <font>
      <b/>
      <sz val="7.5"/>
      <color rgb="FFFFFFFF"/>
      <name val="Roboto"/>
    </font>
    <font>
      <i/>
      <sz val="6.5"/>
      <color rgb="FF404040"/>
      <name val="Roboto"/>
    </font>
    <font>
      <b/>
      <sz val="9"/>
      <color rgb="FFFFFFFF"/>
      <name val="Roboto"/>
    </font>
    <font>
      <sz val="8"/>
      <color rgb="FF000000"/>
      <name val="Roboto"/>
    </font>
    <font>
      <b/>
      <sz val="8"/>
      <color rgb="FF1A3A5C"/>
      <name val="Roboto"/>
    </font>
    <font>
      <b/>
      <sz val="8"/>
      <color rgb="FF000000"/>
      <name val="Roboto"/>
    </font>
    <font>
      <i/>
      <sz val="7"/>
      <color rgb="FF000000"/>
      <name val="Roboto"/>
    </font>
    <font>
      <sz val="7"/>
      <color rgb="FF000000"/>
      <name val="Roboto"/>
    </font>
    <font>
      <b/>
      <sz val="9"/>
      <color rgb="FF1A3A5C"/>
      <name val="Roboto"/>
    </font>
    <font>
      <b/>
      <sz val="11"/>
      <color rgb="FFFFFFFF"/>
      <name val="Roboto"/>
    </font>
    <font>
      <sz val="9"/>
      <color rgb="FF1A3A5C"/>
      <name val="Roboto"/>
    </font>
    <font>
      <sz val="9"/>
      <color rgb="FFFFFFFF"/>
      <name val="Roboto"/>
    </font>
    <font>
      <sz val="8"/>
      <color rgb="FF1A3A5C"/>
      <name val="Roboto"/>
    </font>
    <font>
      <sz val="11"/>
      <color rgb="FFFFFFFF"/>
      <name val="Roboto"/>
    </font>
    <font>
      <b/>
      <sz val="11"/>
      <color theme="1"/>
      <name val="Roboto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563AE"/>
      </patternFill>
    </fill>
    <fill>
      <patternFill patternType="solid">
        <fgColor rgb="FF4A90D9"/>
      </patternFill>
    </fill>
    <fill>
      <patternFill patternType="solid">
        <fgColor rgb="FFF5F5F5"/>
      </patternFill>
    </fill>
    <fill>
      <patternFill patternType="solid">
        <fgColor rgb="FFDCE9F8"/>
      </patternFill>
    </fill>
    <fill>
      <patternFill patternType="solid">
        <fgColor rgb="FFD6EED9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1A3A5C"/>
        <bgColor indexed="64"/>
      </patternFill>
    </fill>
    <fill>
      <patternFill patternType="solid">
        <fgColor rgb="FFFAE3D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8" fillId="2" borderId="0" xfId="0" applyFont="1" applyFill="1" applyAlignment="1">
      <alignment horizontal="left" vertical="center"/>
    </xf>
    <xf numFmtId="0" fontId="9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center"/>
    </xf>
    <xf numFmtId="0" fontId="10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1" fontId="8" fillId="8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1" fontId="8" fillId="5" borderId="1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164" fontId="14" fillId="3" borderId="3" xfId="0" applyNumberFormat="1" applyFont="1" applyFill="1" applyBorder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0" fontId="9" fillId="9" borderId="0" xfId="0" applyFont="1" applyFill="1" applyAlignment="1">
      <alignment vertical="center"/>
    </xf>
    <xf numFmtId="0" fontId="8" fillId="9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7" fillId="10" borderId="0" xfId="0" applyFont="1" applyFill="1" applyAlignment="1">
      <alignment vertical="center"/>
    </xf>
    <xf numFmtId="0" fontId="2" fillId="10" borderId="0" xfId="0" applyFont="1" applyFill="1"/>
    <xf numFmtId="164" fontId="14" fillId="10" borderId="3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3" fontId="8" fillId="8" borderId="6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 wrapText="1"/>
    </xf>
    <xf numFmtId="0" fontId="3" fillId="2" borderId="0" xfId="0" quotePrefix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64" fontId="13" fillId="0" borderId="1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6" borderId="0" xfId="0" applyFont="1" applyFill="1" applyAlignment="1">
      <alignment vertical="center"/>
    </xf>
    <xf numFmtId="164" fontId="18" fillId="3" borderId="3" xfId="0" applyNumberFormat="1" applyFont="1" applyFill="1" applyBorder="1" applyAlignment="1">
      <alignment horizontal="right" vertical="center"/>
    </xf>
    <xf numFmtId="0" fontId="17" fillId="9" borderId="0" xfId="0" applyFont="1" applyFill="1" applyAlignment="1">
      <alignment vertical="center"/>
    </xf>
    <xf numFmtId="164" fontId="18" fillId="10" borderId="3" xfId="0" applyNumberFormat="1" applyFont="1" applyFill="1" applyBorder="1" applyAlignment="1">
      <alignment horizontal="right" vertical="center"/>
    </xf>
    <xf numFmtId="0" fontId="19" fillId="0" borderId="0" xfId="0" applyFont="1"/>
    <xf numFmtId="164" fontId="10" fillId="5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164" fontId="15" fillId="6" borderId="4" xfId="0" applyNumberFormat="1" applyFont="1" applyFill="1" applyBorder="1" applyAlignment="1">
      <alignment horizontal="right" vertical="center"/>
    </xf>
    <xf numFmtId="164" fontId="15" fillId="6" borderId="5" xfId="0" applyNumberFormat="1" applyFont="1" applyFill="1" applyBorder="1" applyAlignment="1">
      <alignment horizontal="right" vertical="center"/>
    </xf>
    <xf numFmtId="164" fontId="15" fillId="6" borderId="6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2" borderId="0" xfId="0" quotePrefix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/>
    <xf numFmtId="0" fontId="6" fillId="5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1039091</xdr:colOff>
      <xdr:row>0</xdr:row>
      <xdr:rowOff>0</xdr:rowOff>
    </xdr:from>
    <xdr:to>
      <xdr:col>4</xdr:col>
      <xdr:colOff>510886</xdr:colOff>
      <xdr:row>0</xdr:row>
      <xdr:rowOff>547786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EE5EC2E3-EFF5-3D82-14B5-97CDA1E8F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2841" y="0"/>
          <a:ext cx="3143250" cy="5477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AC1C-7FA8-449B-A455-30F2337500ED}">
  <sheetPr>
    <pageSetUpPr fitToPage="1"/>
  </sheetPr>
  <dimension ref="A1:H67"/>
  <sheetViews>
    <sheetView tabSelected="1" zoomScale="110" zoomScaleNormal="110" workbookViewId="0">
      <pane ySplit="5" topLeftCell="A57" activePane="bottomLeft" state="frozen"/>
      <selection pane="bottomLeft" activeCell="G44" sqref="G44"/>
    </sheetView>
  </sheetViews>
  <sheetFormatPr defaultRowHeight="15" x14ac:dyDescent="0.25"/>
  <cols>
    <col min="1" max="1" width="34" style="1" customWidth="1"/>
    <col min="2" max="2" width="16" style="1" customWidth="1"/>
    <col min="3" max="3" width="50" style="1" customWidth="1"/>
    <col min="4" max="4" width="5" style="1" customWidth="1"/>
    <col min="5" max="5" width="10" style="1" customWidth="1"/>
    <col min="6" max="6" width="14" style="1" customWidth="1"/>
    <col min="7" max="7" width="14" style="4" customWidth="1"/>
    <col min="8" max="8" width="34" style="1" customWidth="1"/>
    <col min="9" max="16384" width="9.140625" style="1"/>
  </cols>
  <sheetData>
    <row r="1" spans="1:8" ht="44.1" customHeight="1" x14ac:dyDescent="0.25">
      <c r="A1" s="52"/>
      <c r="B1" s="52"/>
      <c r="C1" s="52"/>
      <c r="D1" s="52"/>
      <c r="E1" s="52"/>
      <c r="F1" s="52"/>
      <c r="G1" s="52"/>
      <c r="H1" s="52"/>
    </row>
    <row r="2" spans="1:8" ht="21.95" customHeight="1" x14ac:dyDescent="0.25">
      <c r="A2" s="52" t="s">
        <v>0</v>
      </c>
      <c r="B2" s="52"/>
      <c r="C2" s="52"/>
      <c r="D2" s="52"/>
      <c r="E2" s="53"/>
      <c r="F2" s="53"/>
      <c r="G2" s="53"/>
      <c r="H2" s="37" t="s">
        <v>106</v>
      </c>
    </row>
    <row r="3" spans="1:8" ht="18" customHeight="1" x14ac:dyDescent="0.25">
      <c r="A3" s="54" t="s">
        <v>101</v>
      </c>
      <c r="B3" s="55"/>
      <c r="C3" s="55"/>
      <c r="D3" s="55"/>
      <c r="E3" s="36"/>
      <c r="F3" s="36"/>
      <c r="G3" s="36"/>
      <c r="H3" s="36"/>
    </row>
    <row r="4" spans="1:8" ht="33.950000000000003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3" t="s">
        <v>104</v>
      </c>
      <c r="F4" s="3" t="s">
        <v>105</v>
      </c>
      <c r="G4" s="3" t="s">
        <v>103</v>
      </c>
      <c r="H4" s="2" t="s">
        <v>100</v>
      </c>
    </row>
    <row r="5" spans="1:8" ht="11.1" customHeight="1" x14ac:dyDescent="0.25">
      <c r="A5" s="56" t="s">
        <v>5</v>
      </c>
      <c r="B5" s="55"/>
      <c r="C5" s="55"/>
      <c r="D5" s="55"/>
      <c r="F5" s="46"/>
    </row>
    <row r="6" spans="1:8" ht="30" customHeight="1" x14ac:dyDescent="0.25">
      <c r="A6" s="38" t="s">
        <v>6</v>
      </c>
      <c r="B6" s="38"/>
      <c r="C6" s="38"/>
      <c r="D6" s="38"/>
      <c r="E6" s="38"/>
      <c r="F6" s="38"/>
      <c r="G6" s="38"/>
      <c r="H6" s="5"/>
    </row>
    <row r="7" spans="1:8" ht="12.95" customHeight="1" x14ac:dyDescent="0.25">
      <c r="A7" s="6" t="s">
        <v>7</v>
      </c>
      <c r="B7" s="6"/>
      <c r="C7" s="6"/>
      <c r="D7" s="6"/>
      <c r="E7" s="6"/>
      <c r="F7" s="6"/>
      <c r="G7" s="6"/>
      <c r="H7" s="7"/>
    </row>
    <row r="8" spans="1:8" ht="36" customHeight="1" x14ac:dyDescent="0.25">
      <c r="A8" s="8" t="s">
        <v>8</v>
      </c>
      <c r="B8" s="9" t="s">
        <v>9</v>
      </c>
      <c r="C8" s="10" t="s">
        <v>10</v>
      </c>
      <c r="D8" s="11">
        <v>76</v>
      </c>
      <c r="E8" s="40"/>
      <c r="F8" s="39">
        <f>D8*E8</f>
        <v>0</v>
      </c>
      <c r="G8" s="48">
        <v>13108.011840000001</v>
      </c>
      <c r="H8" s="14"/>
    </row>
    <row r="9" spans="1:8" ht="12.95" customHeight="1" x14ac:dyDescent="0.25">
      <c r="A9" s="6" t="s">
        <v>11</v>
      </c>
      <c r="B9" s="6"/>
      <c r="C9" s="6"/>
      <c r="D9" s="6"/>
      <c r="E9" s="6"/>
      <c r="F9" s="6"/>
      <c r="G9" s="42"/>
      <c r="H9" s="7"/>
    </row>
    <row r="10" spans="1:8" ht="36" customHeight="1" x14ac:dyDescent="0.25">
      <c r="A10" s="15" t="s">
        <v>12</v>
      </c>
      <c r="B10" s="9" t="s">
        <v>13</v>
      </c>
      <c r="C10" s="10" t="s">
        <v>14</v>
      </c>
      <c r="D10" s="11">
        <v>1</v>
      </c>
      <c r="E10" s="12"/>
      <c r="F10" s="39">
        <f>D10*E10</f>
        <v>0</v>
      </c>
      <c r="G10" s="48">
        <v>7653.4425000000001</v>
      </c>
      <c r="H10" s="14"/>
    </row>
    <row r="11" spans="1:8" ht="36" customHeight="1" x14ac:dyDescent="0.25">
      <c r="A11" s="16" t="s">
        <v>15</v>
      </c>
      <c r="B11" s="17"/>
      <c r="C11" s="18" t="s">
        <v>16</v>
      </c>
      <c r="D11" s="19">
        <v>1</v>
      </c>
      <c r="E11" s="20"/>
      <c r="F11" s="47">
        <f>D11*E11</f>
        <v>0</v>
      </c>
      <c r="G11" s="48">
        <v>992.52172799999994</v>
      </c>
      <c r="H11" s="21"/>
    </row>
    <row r="12" spans="1:8" ht="36" customHeight="1" x14ac:dyDescent="0.25">
      <c r="A12" s="15" t="s">
        <v>17</v>
      </c>
      <c r="B12" s="22"/>
      <c r="C12" s="10"/>
      <c r="D12" s="11">
        <v>1</v>
      </c>
      <c r="E12" s="12"/>
      <c r="F12" s="39">
        <f>D12*E12</f>
        <v>0</v>
      </c>
      <c r="G12" s="48">
        <v>477.880832</v>
      </c>
      <c r="H12" s="14"/>
    </row>
    <row r="13" spans="1:8" ht="12.95" customHeight="1" x14ac:dyDescent="0.25">
      <c r="A13" s="6" t="s">
        <v>18</v>
      </c>
      <c r="B13" s="6"/>
      <c r="C13" s="6"/>
      <c r="D13" s="6"/>
      <c r="E13" s="6"/>
      <c r="F13" s="6"/>
      <c r="G13" s="42"/>
      <c r="H13" s="7"/>
    </row>
    <row r="14" spans="1:8" ht="45" x14ac:dyDescent="0.25">
      <c r="A14" s="15" t="s">
        <v>19</v>
      </c>
      <c r="B14" s="9" t="s">
        <v>20</v>
      </c>
      <c r="C14" s="10" t="s">
        <v>21</v>
      </c>
      <c r="D14" s="11">
        <v>1</v>
      </c>
      <c r="E14" s="12"/>
      <c r="F14" s="39">
        <f>D14*E14</f>
        <v>0</v>
      </c>
      <c r="G14" s="48">
        <v>3575.7321600000005</v>
      </c>
      <c r="H14" s="14"/>
    </row>
    <row r="15" spans="1:8" ht="12.95" customHeight="1" x14ac:dyDescent="0.25">
      <c r="A15" s="6" t="s">
        <v>22</v>
      </c>
      <c r="B15" s="6"/>
      <c r="C15" s="6"/>
      <c r="D15" s="6"/>
      <c r="E15" s="6"/>
      <c r="F15" s="6"/>
      <c r="G15" s="42"/>
      <c r="H15" s="7"/>
    </row>
    <row r="16" spans="1:8" ht="36" customHeight="1" x14ac:dyDescent="0.25">
      <c r="A16" s="15" t="s">
        <v>23</v>
      </c>
      <c r="B16" s="22"/>
      <c r="C16" s="10" t="s">
        <v>24</v>
      </c>
      <c r="D16" s="11">
        <v>1</v>
      </c>
      <c r="E16" s="12"/>
      <c r="F16" s="39">
        <f>D16*E16</f>
        <v>0</v>
      </c>
      <c r="G16" s="48">
        <v>1525.5426560000001</v>
      </c>
      <c r="H16" s="14"/>
    </row>
    <row r="17" spans="1:8" ht="36" customHeight="1" x14ac:dyDescent="0.25">
      <c r="A17" s="16" t="s">
        <v>25</v>
      </c>
      <c r="B17" s="17"/>
      <c r="C17" s="18" t="s">
        <v>26</v>
      </c>
      <c r="D17" s="19">
        <v>1</v>
      </c>
      <c r="E17" s="20"/>
      <c r="F17" s="47">
        <f>D17*E17</f>
        <v>0</v>
      </c>
      <c r="G17" s="48">
        <v>882.241536</v>
      </c>
      <c r="H17" s="21"/>
    </row>
    <row r="18" spans="1:8" ht="36" customHeight="1" x14ac:dyDescent="0.25">
      <c r="A18" s="15" t="s">
        <v>27</v>
      </c>
      <c r="B18" s="22"/>
      <c r="C18" s="10" t="s">
        <v>28</v>
      </c>
      <c r="D18" s="11">
        <v>1</v>
      </c>
      <c r="E18" s="12"/>
      <c r="F18" s="39">
        <f>D18*E18</f>
        <v>0</v>
      </c>
      <c r="G18" s="48">
        <v>735.20128000000011</v>
      </c>
      <c r="H18" s="14"/>
    </row>
    <row r="19" spans="1:8" ht="36" customHeight="1" x14ac:dyDescent="0.25">
      <c r="A19" s="16" t="s">
        <v>29</v>
      </c>
      <c r="B19" s="17"/>
      <c r="C19" s="18" t="s">
        <v>30</v>
      </c>
      <c r="D19" s="19">
        <v>1</v>
      </c>
      <c r="E19" s="20"/>
      <c r="F19" s="47">
        <f>D19*E19</f>
        <v>0</v>
      </c>
      <c r="G19" s="48">
        <v>422.74073599999997</v>
      </c>
      <c r="H19" s="21"/>
    </row>
    <row r="20" spans="1:8" ht="36" customHeight="1" x14ac:dyDescent="0.25">
      <c r="A20" s="15" t="s">
        <v>31</v>
      </c>
      <c r="B20" s="22"/>
      <c r="C20" s="10" t="s">
        <v>32</v>
      </c>
      <c r="D20" s="11">
        <v>1</v>
      </c>
      <c r="E20" s="12"/>
      <c r="F20" s="39">
        <f>D20*E20</f>
        <v>0</v>
      </c>
      <c r="G20" s="48">
        <v>808.721408</v>
      </c>
      <c r="H20" s="14"/>
    </row>
    <row r="21" spans="1:8" ht="12.95" customHeight="1" x14ac:dyDescent="0.25">
      <c r="A21" s="6" t="s">
        <v>33</v>
      </c>
      <c r="B21" s="6"/>
      <c r="C21" s="6"/>
      <c r="D21" s="6"/>
      <c r="E21" s="6"/>
      <c r="F21" s="6"/>
      <c r="G21" s="42"/>
      <c r="H21" s="7"/>
    </row>
    <row r="22" spans="1:8" ht="36" customHeight="1" x14ac:dyDescent="0.25">
      <c r="A22" s="8" t="s">
        <v>34</v>
      </c>
      <c r="B22" s="22"/>
      <c r="C22" s="10" t="s">
        <v>35</v>
      </c>
      <c r="D22" s="11">
        <v>1</v>
      </c>
      <c r="E22" s="12"/>
      <c r="F22" s="39">
        <f>D22*E22</f>
        <v>0</v>
      </c>
      <c r="G22" s="48">
        <v>533.02092800000003</v>
      </c>
      <c r="H22" s="14"/>
    </row>
    <row r="23" spans="1:8" ht="12.95" customHeight="1" x14ac:dyDescent="0.25">
      <c r="A23" s="6" t="s">
        <v>36</v>
      </c>
      <c r="B23" s="6"/>
      <c r="C23" s="6"/>
      <c r="D23" s="6"/>
      <c r="E23" s="6"/>
      <c r="F23" s="6"/>
      <c r="G23" s="42"/>
      <c r="H23" s="7"/>
    </row>
    <row r="24" spans="1:8" ht="36" customHeight="1" thickBot="1" x14ac:dyDescent="0.3">
      <c r="A24" s="15" t="s">
        <v>37</v>
      </c>
      <c r="B24" s="22"/>
      <c r="C24" s="10"/>
      <c r="D24" s="11">
        <v>1</v>
      </c>
      <c r="E24" s="12"/>
      <c r="F24" s="39">
        <f>D24*E24</f>
        <v>0</v>
      </c>
      <c r="G24" s="48">
        <v>468.15999999999997</v>
      </c>
      <c r="H24" s="14"/>
    </row>
    <row r="25" spans="1:8" ht="15" customHeight="1" thickBot="1" x14ac:dyDescent="0.3">
      <c r="A25" s="23" t="s">
        <v>38</v>
      </c>
      <c r="B25" s="23" t="str">
        <f>A6</f>
        <v xml:space="preserve">  ━━━━━━  SEZIONE 1 -  FOTOVOLTAICO — 35 kWp  ━━━━━━</v>
      </c>
      <c r="C25" s="23"/>
      <c r="D25" s="23"/>
      <c r="E25" s="34"/>
      <c r="F25" s="24">
        <f>SUM(F8:F24)</f>
        <v>0</v>
      </c>
      <c r="G25" s="43">
        <f>SUM(G8:G24)</f>
        <v>31183.217604000005</v>
      </c>
      <c r="H25" s="25"/>
    </row>
    <row r="26" spans="1:8" ht="30" customHeight="1" x14ac:dyDescent="0.25">
      <c r="A26" s="38" t="s">
        <v>39</v>
      </c>
      <c r="B26" s="38"/>
      <c r="C26" s="38"/>
      <c r="D26" s="38"/>
      <c r="E26" s="38"/>
      <c r="F26" s="38"/>
      <c r="G26" s="41"/>
      <c r="H26" s="5"/>
    </row>
    <row r="27" spans="1:8" ht="12.95" customHeight="1" x14ac:dyDescent="0.25">
      <c r="A27" s="26" t="s">
        <v>40</v>
      </c>
      <c r="B27" s="26"/>
      <c r="C27" s="26"/>
      <c r="D27" s="26"/>
      <c r="E27" s="26"/>
      <c r="F27" s="26"/>
      <c r="G27" s="44"/>
      <c r="H27" s="27"/>
    </row>
    <row r="28" spans="1:8" ht="36" customHeight="1" x14ac:dyDescent="0.25">
      <c r="A28" s="15" t="s">
        <v>41</v>
      </c>
      <c r="B28" s="22"/>
      <c r="C28" s="10" t="s">
        <v>42</v>
      </c>
      <c r="D28" s="11">
        <v>1</v>
      </c>
      <c r="E28" s="12"/>
      <c r="F28" s="39">
        <f>D28*E28</f>
        <v>0</v>
      </c>
      <c r="G28" s="48">
        <v>1342.6875</v>
      </c>
      <c r="H28" s="14"/>
    </row>
    <row r="29" spans="1:8" ht="36" customHeight="1" x14ac:dyDescent="0.25">
      <c r="A29" s="28" t="s">
        <v>43</v>
      </c>
      <c r="B29" s="17" t="s">
        <v>44</v>
      </c>
      <c r="C29" s="18" t="s">
        <v>45</v>
      </c>
      <c r="D29" s="19">
        <v>1</v>
      </c>
      <c r="E29" s="20"/>
      <c r="F29" s="47">
        <f>D29*E29</f>
        <v>0</v>
      </c>
      <c r="G29" s="48">
        <v>559.453125</v>
      </c>
      <c r="H29" s="21"/>
    </row>
    <row r="30" spans="1:8" ht="36" customHeight="1" x14ac:dyDescent="0.25">
      <c r="A30" s="15" t="s">
        <v>46</v>
      </c>
      <c r="B30" s="22"/>
      <c r="C30" s="10" t="s">
        <v>107</v>
      </c>
      <c r="D30" s="11">
        <v>1</v>
      </c>
      <c r="E30" s="12"/>
      <c r="F30" s="39">
        <f>D30*E30</f>
        <v>0</v>
      </c>
      <c r="G30" s="48">
        <v>1790.25</v>
      </c>
      <c r="H30" s="14"/>
    </row>
    <row r="31" spans="1:8" ht="12.95" customHeight="1" x14ac:dyDescent="0.25">
      <c r="A31" s="6" t="s">
        <v>47</v>
      </c>
      <c r="B31" s="6"/>
      <c r="C31" s="6"/>
      <c r="D31" s="6"/>
      <c r="E31" s="6"/>
      <c r="F31" s="6"/>
      <c r="G31" s="42"/>
      <c r="H31" s="7"/>
    </row>
    <row r="32" spans="1:8" ht="36" customHeight="1" x14ac:dyDescent="0.25">
      <c r="A32" s="8" t="s">
        <v>48</v>
      </c>
      <c r="B32" s="22" t="s">
        <v>49</v>
      </c>
      <c r="C32" s="10" t="s">
        <v>108</v>
      </c>
      <c r="D32" s="11">
        <v>2</v>
      </c>
      <c r="E32" s="12"/>
      <c r="F32" s="39">
        <f>D32*E32</f>
        <v>0</v>
      </c>
      <c r="G32" s="48">
        <v>25391.308799999999</v>
      </c>
      <c r="H32" s="14"/>
    </row>
    <row r="33" spans="1:8" ht="36" customHeight="1" x14ac:dyDescent="0.25">
      <c r="A33" s="28" t="s">
        <v>50</v>
      </c>
      <c r="B33" s="29" t="s">
        <v>51</v>
      </c>
      <c r="C33" s="18" t="s">
        <v>52</v>
      </c>
      <c r="D33" s="19">
        <v>2</v>
      </c>
      <c r="E33" s="20"/>
      <c r="F33" s="47">
        <f>D33*E33</f>
        <v>0</v>
      </c>
      <c r="G33" s="48">
        <v>532.67999999999995</v>
      </c>
      <c r="H33" s="21"/>
    </row>
    <row r="34" spans="1:8" ht="12.95" customHeight="1" x14ac:dyDescent="0.25">
      <c r="A34" s="6" t="s">
        <v>53</v>
      </c>
      <c r="B34" s="6"/>
      <c r="C34" s="6"/>
      <c r="D34" s="6"/>
      <c r="E34" s="6"/>
      <c r="F34" s="6"/>
      <c r="G34" s="42"/>
      <c r="H34" s="7"/>
    </row>
    <row r="35" spans="1:8" ht="36" customHeight="1" x14ac:dyDescent="0.25">
      <c r="A35" s="15" t="s">
        <v>54</v>
      </c>
      <c r="B35" s="22" t="s">
        <v>49</v>
      </c>
      <c r="C35" s="10" t="s">
        <v>109</v>
      </c>
      <c r="D35" s="11">
        <v>1</v>
      </c>
      <c r="E35" s="12"/>
      <c r="F35" s="39">
        <f>D35*E35</f>
        <v>0</v>
      </c>
      <c r="G35" s="48">
        <v>1224.1152</v>
      </c>
      <c r="H35" s="14"/>
    </row>
    <row r="36" spans="1:8" ht="36" customHeight="1" x14ac:dyDescent="0.25">
      <c r="A36" s="16" t="s">
        <v>55</v>
      </c>
      <c r="B36" s="17" t="s">
        <v>49</v>
      </c>
      <c r="C36" s="18" t="s">
        <v>110</v>
      </c>
      <c r="D36" s="19">
        <v>1</v>
      </c>
      <c r="E36" s="20"/>
      <c r="F36" s="47">
        <f>D36*E36</f>
        <v>0</v>
      </c>
      <c r="G36" s="48">
        <v>1020.096</v>
      </c>
      <c r="H36" s="21"/>
    </row>
    <row r="37" spans="1:8" ht="12.95" customHeight="1" x14ac:dyDescent="0.25">
      <c r="A37" s="6" t="s">
        <v>56</v>
      </c>
      <c r="B37" s="6"/>
      <c r="C37" s="6"/>
      <c r="D37" s="6"/>
      <c r="E37" s="6"/>
      <c r="F37" s="6"/>
      <c r="G37" s="42"/>
      <c r="H37" s="7"/>
    </row>
    <row r="38" spans="1:8" ht="36" customHeight="1" x14ac:dyDescent="0.25">
      <c r="A38" s="15" t="s">
        <v>57</v>
      </c>
      <c r="B38" s="9" t="s">
        <v>58</v>
      </c>
      <c r="C38" s="10" t="s">
        <v>59</v>
      </c>
      <c r="D38" s="11">
        <v>1</v>
      </c>
      <c r="E38" s="12"/>
      <c r="F38" s="39">
        <f t="shared" ref="F38:F43" si="0">D38*E38</f>
        <v>0</v>
      </c>
      <c r="G38" s="48">
        <v>6046.0646399999996</v>
      </c>
      <c r="H38" s="14"/>
    </row>
    <row r="39" spans="1:8" ht="36" customHeight="1" x14ac:dyDescent="0.25">
      <c r="A39" s="16" t="s">
        <v>60</v>
      </c>
      <c r="B39" s="29" t="s">
        <v>61</v>
      </c>
      <c r="C39" s="18" t="s">
        <v>62</v>
      </c>
      <c r="D39" s="19">
        <v>1</v>
      </c>
      <c r="E39" s="20"/>
      <c r="F39" s="47">
        <f t="shared" si="0"/>
        <v>0</v>
      </c>
      <c r="G39" s="48">
        <v>1810.2150000000001</v>
      </c>
      <c r="H39" s="21"/>
    </row>
    <row r="40" spans="1:8" ht="36" customHeight="1" x14ac:dyDescent="0.25">
      <c r="A40" s="15" t="s">
        <v>111</v>
      </c>
      <c r="B40" s="9" t="s">
        <v>63</v>
      </c>
      <c r="C40" s="10" t="s">
        <v>64</v>
      </c>
      <c r="D40" s="11">
        <v>1</v>
      </c>
      <c r="E40" s="12"/>
      <c r="F40" s="39">
        <f t="shared" si="0"/>
        <v>0</v>
      </c>
      <c r="G40" s="48">
        <v>1308.384</v>
      </c>
      <c r="H40" s="14"/>
    </row>
    <row r="41" spans="1:8" ht="36" customHeight="1" x14ac:dyDescent="0.25">
      <c r="A41" s="16" t="s">
        <v>112</v>
      </c>
      <c r="B41" s="29" t="s">
        <v>65</v>
      </c>
      <c r="C41" s="18" t="s">
        <v>66</v>
      </c>
      <c r="D41" s="19">
        <v>1</v>
      </c>
      <c r="E41" s="20"/>
      <c r="F41" s="47">
        <f t="shared" si="0"/>
        <v>0</v>
      </c>
      <c r="G41" s="48">
        <v>662.91455999999994</v>
      </c>
      <c r="H41" s="21"/>
    </row>
    <row r="42" spans="1:8" ht="36" customHeight="1" x14ac:dyDescent="0.25">
      <c r="A42" s="15" t="s">
        <v>67</v>
      </c>
      <c r="B42" s="22"/>
      <c r="C42" s="10" t="s">
        <v>68</v>
      </c>
      <c r="D42" s="11">
        <v>1</v>
      </c>
      <c r="E42" s="12"/>
      <c r="F42" s="39">
        <f t="shared" si="0"/>
        <v>0</v>
      </c>
      <c r="G42" s="48">
        <v>2238.7200000000003</v>
      </c>
      <c r="H42" s="14"/>
    </row>
    <row r="43" spans="1:8" ht="36" customHeight="1" x14ac:dyDescent="0.25">
      <c r="A43" s="16" t="s">
        <v>69</v>
      </c>
      <c r="B43" s="17"/>
      <c r="C43" s="18" t="s">
        <v>113</v>
      </c>
      <c r="D43" s="19">
        <v>1</v>
      </c>
      <c r="E43" s="20"/>
      <c r="F43" s="47">
        <f t="shared" si="0"/>
        <v>0</v>
      </c>
      <c r="G43" s="48">
        <v>358.08</v>
      </c>
      <c r="H43" s="21"/>
    </row>
    <row r="44" spans="1:8" ht="12.95" customHeight="1" x14ac:dyDescent="0.25">
      <c r="A44" s="6" t="s">
        <v>70</v>
      </c>
      <c r="B44" s="6"/>
      <c r="C44" s="6"/>
      <c r="D44" s="6"/>
      <c r="E44" s="6"/>
      <c r="F44" s="6"/>
      <c r="G44" s="42"/>
      <c r="H44" s="7"/>
    </row>
    <row r="45" spans="1:8" ht="45" x14ac:dyDescent="0.25">
      <c r="A45" s="15" t="s">
        <v>71</v>
      </c>
      <c r="B45" s="22" t="s">
        <v>72</v>
      </c>
      <c r="C45" s="10" t="s">
        <v>73</v>
      </c>
      <c r="D45" s="11">
        <v>1</v>
      </c>
      <c r="E45" s="12"/>
      <c r="F45" s="39">
        <f t="shared" ref="F45:F50" si="1">D45*E45</f>
        <v>0</v>
      </c>
      <c r="G45" s="48">
        <v>2587.1999999999998</v>
      </c>
      <c r="H45" s="14"/>
    </row>
    <row r="46" spans="1:8" ht="36" customHeight="1" x14ac:dyDescent="0.25">
      <c r="A46" s="16" t="s">
        <v>74</v>
      </c>
      <c r="B46" s="17"/>
      <c r="C46" s="18" t="s">
        <v>75</v>
      </c>
      <c r="D46" s="19">
        <v>1</v>
      </c>
      <c r="E46" s="20"/>
      <c r="F46" s="47">
        <f t="shared" si="1"/>
        <v>0</v>
      </c>
      <c r="G46" s="48">
        <v>1320.5940000000001</v>
      </c>
      <c r="H46" s="21"/>
    </row>
    <row r="47" spans="1:8" ht="36" customHeight="1" x14ac:dyDescent="0.25">
      <c r="A47" s="15" t="s">
        <v>76</v>
      </c>
      <c r="B47" s="22"/>
      <c r="C47" s="10" t="s">
        <v>77</v>
      </c>
      <c r="D47" s="11">
        <v>1</v>
      </c>
      <c r="E47" s="12"/>
      <c r="F47" s="39">
        <f t="shared" si="1"/>
        <v>0</v>
      </c>
      <c r="G47" s="48">
        <v>466.09200000000004</v>
      </c>
      <c r="H47" s="14"/>
    </row>
    <row r="48" spans="1:8" ht="36" customHeight="1" x14ac:dyDescent="0.25">
      <c r="A48" s="16" t="s">
        <v>78</v>
      </c>
      <c r="B48" s="17"/>
      <c r="C48" s="18" t="s">
        <v>79</v>
      </c>
      <c r="D48" s="19">
        <v>1</v>
      </c>
      <c r="E48" s="20"/>
      <c r="F48" s="47">
        <f t="shared" si="1"/>
        <v>0</v>
      </c>
      <c r="G48" s="48">
        <v>310.72799999999995</v>
      </c>
      <c r="H48" s="21"/>
    </row>
    <row r="49" spans="1:8" ht="12.95" customHeight="1" x14ac:dyDescent="0.25">
      <c r="A49" s="6" t="s">
        <v>36</v>
      </c>
      <c r="B49" s="6"/>
      <c r="C49" s="6"/>
      <c r="D49" s="6"/>
      <c r="E49" s="6"/>
      <c r="F49" s="6"/>
      <c r="G49" s="42"/>
      <c r="H49" s="7"/>
    </row>
    <row r="50" spans="1:8" ht="36" customHeight="1" thickBot="1" x14ac:dyDescent="0.3">
      <c r="A50" s="15" t="s">
        <v>83</v>
      </c>
      <c r="B50" s="22" t="s">
        <v>84</v>
      </c>
      <c r="C50" s="10" t="s">
        <v>85</v>
      </c>
      <c r="D50" s="11">
        <v>1</v>
      </c>
      <c r="E50" s="12"/>
      <c r="F50" s="39">
        <f t="shared" si="1"/>
        <v>0</v>
      </c>
      <c r="G50" s="48">
        <v>840</v>
      </c>
      <c r="H50" s="14"/>
    </row>
    <row r="51" spans="1:8" ht="15" customHeight="1" thickBot="1" x14ac:dyDescent="0.3">
      <c r="A51" s="23" t="s">
        <v>38</v>
      </c>
      <c r="B51" s="23" t="str">
        <f>A26</f>
        <v xml:space="preserve">  ━━━━━━  SEZIONE 2 - PDC IDRONICA  ━━━━━━</v>
      </c>
      <c r="C51" s="23"/>
      <c r="D51" s="23"/>
      <c r="E51" s="34"/>
      <c r="F51" s="24">
        <f>SUM(F27:F50)</f>
        <v>0</v>
      </c>
      <c r="G51" s="43">
        <f>SUM(G27:G50)</f>
        <v>49809.582824999998</v>
      </c>
      <c r="H51" s="25"/>
    </row>
    <row r="52" spans="1:8" ht="30" customHeight="1" x14ac:dyDescent="0.25">
      <c r="A52" s="38" t="s">
        <v>86</v>
      </c>
      <c r="B52" s="38"/>
      <c r="C52" s="38"/>
      <c r="D52" s="38"/>
      <c r="E52" s="38"/>
      <c r="F52" s="38"/>
      <c r="G52" s="41"/>
      <c r="H52" s="5"/>
    </row>
    <row r="53" spans="1:8" ht="12.95" customHeight="1" x14ac:dyDescent="0.25">
      <c r="A53" s="6" t="str">
        <f>A6</f>
        <v xml:space="preserve">  ━━━━━━  SEZIONE 1 -  FOTOVOLTAICO — 35 kWp  ━━━━━━</v>
      </c>
      <c r="B53" s="6"/>
      <c r="C53" s="6"/>
      <c r="D53" s="6"/>
      <c r="E53" s="6"/>
      <c r="F53" s="6"/>
      <c r="G53" s="42"/>
      <c r="H53" s="7"/>
    </row>
    <row r="54" spans="1:8" ht="36" customHeight="1" x14ac:dyDescent="0.25">
      <c r="A54" s="15" t="s">
        <v>87</v>
      </c>
      <c r="B54" s="22"/>
      <c r="C54" s="10"/>
      <c r="D54" s="11">
        <v>1</v>
      </c>
      <c r="E54" s="12"/>
      <c r="F54" s="39">
        <f t="shared" ref="F54:F56" si="2">D54*E54</f>
        <v>0</v>
      </c>
      <c r="G54" s="49">
        <v>7250</v>
      </c>
      <c r="H54" s="14"/>
    </row>
    <row r="55" spans="1:8" ht="36" customHeight="1" x14ac:dyDescent="0.25">
      <c r="A55" s="16" t="s">
        <v>88</v>
      </c>
      <c r="B55" s="17"/>
      <c r="C55" s="18"/>
      <c r="D55" s="19">
        <v>1</v>
      </c>
      <c r="E55" s="20"/>
      <c r="F55" s="47">
        <f t="shared" si="2"/>
        <v>0</v>
      </c>
      <c r="G55" s="50"/>
      <c r="H55" s="14"/>
    </row>
    <row r="56" spans="1:8" ht="36" customHeight="1" x14ac:dyDescent="0.25">
      <c r="A56" s="15" t="s">
        <v>89</v>
      </c>
      <c r="B56" s="22"/>
      <c r="C56" s="10" t="s">
        <v>90</v>
      </c>
      <c r="D56" s="11">
        <v>1</v>
      </c>
      <c r="E56" s="35"/>
      <c r="F56" s="39">
        <f t="shared" si="2"/>
        <v>0</v>
      </c>
      <c r="G56" s="51"/>
      <c r="H56" s="14"/>
    </row>
    <row r="57" spans="1:8" ht="12.95" customHeight="1" x14ac:dyDescent="0.25">
      <c r="A57" s="6" t="str">
        <f>A26</f>
        <v xml:space="preserve">  ━━━━━━  SEZIONE 2 - PDC IDRONICA  ━━━━━━</v>
      </c>
      <c r="B57" s="6"/>
      <c r="C57" s="6"/>
      <c r="D57" s="6"/>
      <c r="E57" s="6"/>
      <c r="F57" s="6"/>
      <c r="G57" s="42"/>
      <c r="H57" s="7"/>
    </row>
    <row r="58" spans="1:8" ht="36" customHeight="1" x14ac:dyDescent="0.25">
      <c r="A58" s="15" t="s">
        <v>91</v>
      </c>
      <c r="B58" s="22"/>
      <c r="C58" s="10"/>
      <c r="D58" s="11">
        <v>1</v>
      </c>
      <c r="E58" s="12"/>
      <c r="F58" s="39">
        <f t="shared" ref="F58:F62" si="3">D58*E58</f>
        <v>0</v>
      </c>
      <c r="G58" s="49">
        <v>7500</v>
      </c>
      <c r="H58" s="14"/>
    </row>
    <row r="59" spans="1:8" ht="36" customHeight="1" x14ac:dyDescent="0.25">
      <c r="A59" s="16" t="s">
        <v>92</v>
      </c>
      <c r="B59" s="17"/>
      <c r="C59" s="18"/>
      <c r="D59" s="19">
        <v>1</v>
      </c>
      <c r="E59" s="20"/>
      <c r="F59" s="47">
        <f t="shared" si="3"/>
        <v>0</v>
      </c>
      <c r="G59" s="50"/>
      <c r="H59" s="14"/>
    </row>
    <row r="60" spans="1:8" ht="36" customHeight="1" x14ac:dyDescent="0.25">
      <c r="A60" s="28" t="s">
        <v>88</v>
      </c>
      <c r="B60" s="22"/>
      <c r="C60" s="10"/>
      <c r="D60" s="11">
        <v>1</v>
      </c>
      <c r="E60" s="35"/>
      <c r="F60" s="39">
        <f t="shared" si="3"/>
        <v>0</v>
      </c>
      <c r="G60" s="51"/>
      <c r="H60" s="14"/>
    </row>
    <row r="61" spans="1:8" ht="12.95" customHeight="1" x14ac:dyDescent="0.25">
      <c r="A61" s="6" t="s">
        <v>93</v>
      </c>
      <c r="B61" s="6"/>
      <c r="C61" s="6"/>
      <c r="D61" s="6"/>
      <c r="E61" s="6"/>
      <c r="F61" s="6"/>
      <c r="G61" s="42"/>
      <c r="H61" s="7"/>
    </row>
    <row r="62" spans="1:8" ht="36" customHeight="1" thickBot="1" x14ac:dyDescent="0.3">
      <c r="A62" s="8" t="s">
        <v>94</v>
      </c>
      <c r="B62" s="22"/>
      <c r="C62" s="10" t="s">
        <v>95</v>
      </c>
      <c r="D62" s="11">
        <v>1</v>
      </c>
      <c r="E62" s="12"/>
      <c r="F62" s="39">
        <f t="shared" si="3"/>
        <v>0</v>
      </c>
      <c r="G62" s="48">
        <v>3500</v>
      </c>
      <c r="H62" s="14"/>
    </row>
    <row r="63" spans="1:8" ht="15" customHeight="1" thickBot="1" x14ac:dyDescent="0.3">
      <c r="A63" s="23" t="s">
        <v>38</v>
      </c>
      <c r="B63" s="23" t="str">
        <f>A52</f>
        <v xml:space="preserve">  ━━━━━━ PRESTAZIONI TECNICHE  ━━━━━━</v>
      </c>
      <c r="C63" s="23"/>
      <c r="D63" s="23"/>
      <c r="E63" s="34"/>
      <c r="F63" s="24">
        <f>SUM(F54:F62)</f>
        <v>0</v>
      </c>
      <c r="G63" s="43">
        <f>SUM(G54:G62)</f>
        <v>18250</v>
      </c>
      <c r="H63" s="25"/>
    </row>
    <row r="64" spans="1:8" ht="30" customHeight="1" thickBot="1" x14ac:dyDescent="0.3">
      <c r="A64" s="30" t="s">
        <v>96</v>
      </c>
      <c r="B64" s="31"/>
      <c r="C64" s="31"/>
      <c r="D64" s="31"/>
      <c r="E64" s="31"/>
      <c r="F64" s="32">
        <f>SUM(F25,F51,F63)</f>
        <v>0</v>
      </c>
      <c r="G64" s="45">
        <f>SUM(G25,G51,G63)</f>
        <v>99242.800428999995</v>
      </c>
      <c r="H64" s="31"/>
    </row>
    <row r="65" spans="1:8" ht="15" customHeight="1" thickBot="1" x14ac:dyDescent="0.3">
      <c r="A65" s="23" t="s">
        <v>102</v>
      </c>
      <c r="B65" s="23"/>
      <c r="C65" s="23"/>
      <c r="D65" s="23"/>
      <c r="E65" s="34"/>
      <c r="F65" s="34"/>
      <c r="G65" s="24"/>
      <c r="H65" s="25"/>
    </row>
    <row r="66" spans="1:8" ht="36" customHeight="1" x14ac:dyDescent="0.25">
      <c r="A66" s="33" t="s">
        <v>97</v>
      </c>
      <c r="B66" s="17" t="s">
        <v>98</v>
      </c>
      <c r="C66" s="18" t="s">
        <v>99</v>
      </c>
      <c r="D66" s="19">
        <v>1</v>
      </c>
      <c r="E66" s="20"/>
      <c r="F66" s="20"/>
      <c r="G66" s="13"/>
      <c r="H66" s="21"/>
    </row>
    <row r="67" spans="1:8" ht="36" customHeight="1" x14ac:dyDescent="0.25">
      <c r="A67" s="33" t="s">
        <v>80</v>
      </c>
      <c r="B67" s="9" t="s">
        <v>81</v>
      </c>
      <c r="C67" s="10" t="s">
        <v>82</v>
      </c>
      <c r="D67" s="11">
        <v>1</v>
      </c>
      <c r="E67" s="12"/>
      <c r="F67" s="12"/>
      <c r="G67" s="13"/>
      <c r="H67" s="14"/>
    </row>
  </sheetData>
  <sheetProtection algorithmName="SHA-512" hashValue="uie5Cgavf7L5XZk1jPnwHx4vl/gsjLYKubGFdR2IVzsaAURbehAbCPJzkOoc4p2ZJyWU0e74WOSp11Afzfj0QA==" saltValue="bhq2f745+IuNc6b2B7tM5g==" spinCount="100000" sheet="1" objects="1" scenarios="1"/>
  <protectedRanges>
    <protectedRange sqref="E25 E51 E65:F67 E8:F24 E26:F50 E52:F62 E63:E64" name="Intervallo1"/>
  </protectedRanges>
  <mergeCells count="7">
    <mergeCell ref="A1:H1"/>
    <mergeCell ref="G54:G56"/>
    <mergeCell ref="G58:G60"/>
    <mergeCell ref="A2:D2"/>
    <mergeCell ref="E2:G2"/>
    <mergeCell ref="A3:D3"/>
    <mergeCell ref="A5:D5"/>
  </mergeCells>
  <pageMargins left="0.25" right="0.25" top="0.75" bottom="0.75" header="0.3" footer="0.3"/>
  <pageSetup paperSize="9" scale="5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SC_C_FULL</vt:lpstr>
      <vt:lpstr>SC_C_FULL!Titoli_stampa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Nobile</dc:creator>
  <cp:lastModifiedBy>Alberto Nobile</cp:lastModifiedBy>
  <cp:lastPrinted>2026-04-13T17:20:50Z</cp:lastPrinted>
  <dcterms:created xsi:type="dcterms:W3CDTF">2026-04-13T16:53:58Z</dcterms:created>
  <dcterms:modified xsi:type="dcterms:W3CDTF">2026-04-13T17:28:49Z</dcterms:modified>
</cp:coreProperties>
</file>