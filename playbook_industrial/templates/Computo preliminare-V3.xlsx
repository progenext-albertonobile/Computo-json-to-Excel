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SC_A_FV25" sheetId="1" state="visible" r:id="rId1"/>
    <sheet name="SC_B_PDC" sheetId="2" state="visible" r:id="rId2"/>
    <sheet name="SC_C_FULL" sheetId="3" state="visible" r:id="rId3"/>
    <sheet name="RIEPILOGO" sheetId="4" state="visible" r:id="rId4"/>
  </sheets>
  <definedNames>
    <definedName name="COMPUTO_TEMPLATE_VERSION">"v3.0.0"</definedName>
    <definedName name="_xlnm.Print_Titles" localSheetId="0">'SC_A_FV25'!$1:$4</definedName>
    <definedName name="_xlnm.Print_Titles" localSheetId="1">'SC_B_PDC'!$1:$4</definedName>
    <definedName name="_xlnm.Print_Titles" localSheetId="2">'SC_C_FULL'!$1:$4</definedName>
  </definedNames>
  <calcPr calcId="191029" fullCalcOnLoad="1"/>
</workbook>
</file>

<file path=xl/styles.xml><?xml version="1.0" encoding="utf-8"?>
<styleSheet xmlns="http://schemas.openxmlformats.org/spreadsheetml/2006/main">
  <numFmts count="3">
    <numFmt numFmtId="164" formatCode="#,##0;[Red]\(#,##0\);\-"/>
    <numFmt numFmtId="165" formatCode="#,##0.0"/>
    <numFmt numFmtId="166" formatCode="#,##0.00\ &quot;€&quot;"/>
  </numFmts>
  <fonts count="43">
    <font>
      <name val="Calibri"/>
      <family val="2"/>
      <color theme="1"/>
      <sz val="11"/>
      <scheme val="minor"/>
    </font>
    <font>
      <name val="Calibri"/>
      <b val="1"/>
      <color rgb="FFFFFFFF"/>
      <sz val="8"/>
    </font>
    <font>
      <name val="Calibri"/>
      <color rgb="FFFFFFFF"/>
      <sz val="8"/>
    </font>
    <font>
      <name val="Calibri"/>
      <i val="1"/>
      <color rgb="FF404040"/>
      <sz val="6.5"/>
    </font>
    <font>
      <name val="Calibri"/>
      <color rgb="FF000000"/>
      <sz val="8"/>
    </font>
    <font>
      <name val="Calibri"/>
      <b val="1"/>
      <color rgb="FF000000"/>
      <sz val="8"/>
    </font>
    <font>
      <name val="Calibri"/>
      <color rgb="FF000000"/>
      <sz val="7.5"/>
    </font>
    <font>
      <name val="Calibri"/>
      <b val="1"/>
      <color rgb="FFFFFFFF"/>
      <sz val="9"/>
    </font>
    <font>
      <name val="Calibri"/>
      <b val="1"/>
      <color rgb="FFFFFFFF"/>
      <sz val="11"/>
    </font>
    <font>
      <name val="Calibri"/>
      <i val="1"/>
      <color rgb="FF404040"/>
      <sz val="7"/>
    </font>
    <font>
      <name val="Calibri"/>
      <b val="1"/>
      <color rgb="FFFFFFFF"/>
      <sz val="12"/>
    </font>
    <font>
      <name val="Calibri"/>
      <b val="1"/>
      <color rgb="FF1A3A5C"/>
      <sz val="10"/>
    </font>
    <font>
      <name val="Calibri"/>
      <b val="1"/>
      <color rgb="FFFFFFFF"/>
      <sz val="13"/>
    </font>
    <font>
      <name val="Calibri"/>
      <color rgb="FFFFFFFF"/>
      <sz val="7"/>
    </font>
    <font>
      <name val="Calibri"/>
      <b val="1"/>
      <i val="1"/>
      <color rgb="FFC0622A"/>
      <sz val="8"/>
    </font>
    <font>
      <name val="Calibri"/>
      <i val="1"/>
      <color rgb="FFC0622A"/>
      <sz val="8"/>
    </font>
    <font>
      <name val="Calibri"/>
      <i val="1"/>
      <color rgb="FFC0622A"/>
      <sz val="7"/>
    </font>
    <font>
      <name val="Calibri"/>
      <i val="1"/>
      <color rgb="FFFFFFFF"/>
      <sz val="7"/>
    </font>
    <font>
      <name val="Calibri"/>
      <b val="1"/>
      <color rgb="FF1E6B37"/>
      <sz val="11"/>
    </font>
    <font>
      <name val="Calibri"/>
      <b val="1"/>
      <color rgb="FF1E6B37"/>
      <sz val="10"/>
    </font>
    <font>
      <name val="Calibri"/>
      <color rgb="FF404040"/>
      <sz val="10"/>
    </font>
    <font>
      <name val="Calibri"/>
      <b val="1"/>
      <color rgb="FF000000"/>
      <sz val="7.5"/>
    </font>
    <font>
      <name val="Calibri"/>
      <color rgb="FFFFFFFF"/>
      <sz val="7.5"/>
    </font>
    <font>
      <name val="Calibri"/>
      <b val="1"/>
      <color rgb="FF1E6B37"/>
      <sz val="8"/>
    </font>
    <font>
      <name val="Roboto"/>
      <b val="1"/>
      <color rgb="FFFFFFFF"/>
      <sz val="10"/>
    </font>
    <font>
      <name val="Roboto"/>
      <color theme="1"/>
      <sz val="11"/>
    </font>
    <font>
      <name val="Roboto"/>
      <b val="1"/>
      <color rgb="FFFFFFFF"/>
      <sz val="8"/>
    </font>
    <font>
      <name val="Roboto"/>
      <color rgb="FFFFFFFF"/>
      <sz val="8"/>
    </font>
    <font>
      <name val="Roboto"/>
      <i val="1"/>
      <color rgb="FFCCCCCC"/>
      <sz val="7"/>
    </font>
    <font>
      <name val="Roboto"/>
      <b val="1"/>
      <color rgb="FFFFFFFF"/>
      <sz val="7.5"/>
    </font>
    <font>
      <name val="Roboto"/>
      <i val="1"/>
      <color rgb="FF404040"/>
      <sz val="6.5"/>
    </font>
    <font>
      <name val="Roboto"/>
      <b val="1"/>
      <color rgb="FF1A3A5C"/>
      <sz val="8"/>
    </font>
    <font>
      <name val="Roboto"/>
      <color rgb="FF000000"/>
      <sz val="8"/>
    </font>
    <font>
      <name val="Roboto"/>
      <b val="1"/>
      <color rgb="FF000000"/>
      <sz val="8"/>
    </font>
    <font>
      <name val="Roboto"/>
      <i val="1"/>
      <color rgb="FF000000"/>
      <sz val="7"/>
    </font>
    <font>
      <name val="Roboto"/>
      <color rgb="FF000000"/>
      <sz val="7"/>
    </font>
    <font>
      <name val="Roboto"/>
      <color rgb="FF404040"/>
      <sz val="7.5"/>
    </font>
    <font>
      <name val="Roboto"/>
      <b val="1"/>
      <color rgb="FF1A3A5C"/>
      <sz val="9"/>
    </font>
    <font>
      <name val="Roboto"/>
      <color rgb="FF000000"/>
      <sz val="7.5"/>
    </font>
    <font>
      <name val="Roboto"/>
      <b val="1"/>
      <color rgb="FFFFFFFF"/>
      <sz val="9"/>
    </font>
    <font>
      <name val="Roboto"/>
      <b val="1"/>
      <color rgb="FFFFFFFF"/>
      <sz val="11"/>
    </font>
    <font>
      <name val="Roboto"/>
      <b val="1"/>
      <color rgb="FFC0622A"/>
      <sz val="7.5"/>
    </font>
    <font>
      <name val="Roboto"/>
      <i val="1"/>
      <color rgb="FF404040"/>
      <sz val="7"/>
    </font>
  </fonts>
  <fills count="14">
    <fill>
      <patternFill/>
    </fill>
    <fill>
      <patternFill patternType="gray125"/>
    </fill>
    <fill>
      <patternFill patternType="solid">
        <fgColor rgb="FF1A3A5C"/>
      </patternFill>
    </fill>
    <fill>
      <patternFill patternType="solid">
        <fgColor rgb="FF2563AE"/>
      </patternFill>
    </fill>
    <fill>
      <patternFill patternType="solid">
        <fgColor rgb="FF4A90D9"/>
      </patternFill>
    </fill>
    <fill>
      <patternFill patternType="solid">
        <fgColor rgb="FFF5F5F5"/>
      </patternFill>
    </fill>
    <fill>
      <patternFill patternType="solid">
        <fgColor rgb="FFFFFACD"/>
      </patternFill>
    </fill>
    <fill>
      <patternFill patternType="solid">
        <fgColor rgb="FFDCE9F8"/>
      </patternFill>
    </fill>
    <fill>
      <patternFill patternType="solid">
        <fgColor rgb="FFFFFFFF"/>
      </patternFill>
    </fill>
    <fill>
      <patternFill patternType="solid">
        <fgColor rgb="FFD6EED9"/>
      </patternFill>
    </fill>
    <fill>
      <patternFill patternType="solid">
        <fgColor rgb="FFFAE3D0"/>
      </patternFill>
    </fill>
    <fill>
      <patternFill patternType="solid">
        <fgColor rgb="FFFADBD8"/>
      </patternFill>
    </fill>
    <fill>
      <patternFill patternType="solid">
        <fgColor rgb="FF1E6B37"/>
      </patternFill>
    </fill>
    <fill>
      <patternFill patternType="solid">
        <fgColor rgb="FF1A3A5C"/>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medium">
        <color rgb="FF888888"/>
      </left>
      <right style="medium">
        <color rgb="FF888888"/>
      </right>
      <top style="medium">
        <color rgb="FF888888"/>
      </top>
      <bottom style="medium">
        <color rgb="FF888888"/>
      </bottom>
      <diagonal/>
    </border>
    <border>
      <left/>
      <right/>
      <top style="thin">
        <color rgb="FFBFBFBF"/>
      </top>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top/>
      <bottom/>
      <diagonal/>
    </border>
  </borders>
  <cellStyleXfs count="1">
    <xf numFmtId="0" fontId="0" fillId="0" borderId="0"/>
  </cellStyleXfs>
  <cellXfs count="115">
    <xf numFmtId="0" fontId="0" fillId="0" borderId="0" pivotButton="0" quotePrefix="0" xfId="0"/>
    <xf numFmtId="0" fontId="5" fillId="5" borderId="1" applyAlignment="1" pivotButton="0" quotePrefix="0" xfId="0">
      <alignment horizontal="left" vertical="center" wrapText="1"/>
    </xf>
    <xf numFmtId="0" fontId="3" fillId="5" borderId="0" applyAlignment="1" pivotButton="0" quotePrefix="0" xfId="0">
      <alignment horizontal="left" vertical="center" wrapText="1"/>
    </xf>
    <xf numFmtId="0" fontId="7" fillId="2" borderId="0" applyAlignment="1" pivotButton="0" quotePrefix="0" xfId="0">
      <alignment horizontal="left" vertical="center"/>
    </xf>
    <xf numFmtId="0" fontId="7" fillId="4" borderId="1" applyAlignment="1" pivotButton="0" quotePrefix="0" xfId="0">
      <alignment horizontal="left" vertical="center" wrapText="1"/>
    </xf>
    <xf numFmtId="0" fontId="7" fillId="4" borderId="1" applyAlignment="1" pivotButton="0" quotePrefix="0" xfId="0">
      <alignment horizontal="center" vertical="center" wrapText="1"/>
    </xf>
    <xf numFmtId="0" fontId="8" fillId="12" borderId="0" applyAlignment="1" pivotButton="0" quotePrefix="0" xfId="0">
      <alignment horizontal="left" vertical="center"/>
    </xf>
    <xf numFmtId="3" fontId="12" fillId="12" borderId="2" applyAlignment="1" pivotButton="0" quotePrefix="0" xfId="0">
      <alignment horizontal="right" vertical="center"/>
    </xf>
    <xf numFmtId="0" fontId="13" fillId="12" borderId="0" applyAlignment="1" pivotButton="0" quotePrefix="0" xfId="0">
      <alignment horizontal="left" vertical="center"/>
    </xf>
    <xf numFmtId="0" fontId="14" fillId="6" borderId="0" applyAlignment="1" pivotButton="0" quotePrefix="0" xfId="0">
      <alignment horizontal="left" vertical="center"/>
    </xf>
    <xf numFmtId="3" fontId="15" fillId="6" borderId="1" applyAlignment="1" pivotButton="0" quotePrefix="0" xfId="0">
      <alignment horizontal="right" vertical="center"/>
    </xf>
    <xf numFmtId="0" fontId="16" fillId="6" borderId="0" applyAlignment="1" pivotButton="0" quotePrefix="0" xfId="0">
      <alignment horizontal="left" vertical="center"/>
    </xf>
    <xf numFmtId="3" fontId="8" fillId="2" borderId="2" applyAlignment="1" pivotButton="0" quotePrefix="0" xfId="0">
      <alignment horizontal="right" vertical="center"/>
    </xf>
    <xf numFmtId="0" fontId="17" fillId="2" borderId="0" applyAlignment="1" pivotButton="0" quotePrefix="0" xfId="0">
      <alignment horizontal="left" vertical="center"/>
    </xf>
    <xf numFmtId="0" fontId="1" fillId="4" borderId="1" applyAlignment="1" pivotButton="0" quotePrefix="0" xfId="0">
      <alignment horizontal="left" vertical="center" wrapText="1"/>
    </xf>
    <xf numFmtId="0" fontId="1" fillId="4" borderId="1" applyAlignment="1" pivotButton="0" quotePrefix="0" xfId="0">
      <alignment horizontal="center" vertical="center" wrapText="1"/>
    </xf>
    <xf numFmtId="3" fontId="18" fillId="9" borderId="1" applyAlignment="1" pivotButton="0" quotePrefix="0" xfId="0">
      <alignment horizontal="right" vertical="center"/>
    </xf>
    <xf numFmtId="3" fontId="19" fillId="8" borderId="1" applyAlignment="1" pivotButton="0" quotePrefix="0" xfId="0">
      <alignment horizontal="right" vertical="center"/>
    </xf>
    <xf numFmtId="3" fontId="20" fillId="8" borderId="1" applyAlignment="1" pivotButton="0" quotePrefix="0" xfId="0">
      <alignment horizontal="right" vertical="center"/>
    </xf>
    <xf numFmtId="0" fontId="6" fillId="5" borderId="0" applyAlignment="1" pivotButton="0" quotePrefix="0" xfId="0">
      <alignment horizontal="left" vertical="center" wrapText="1"/>
    </xf>
    <xf numFmtId="0" fontId="1" fillId="4" borderId="1" applyAlignment="1" pivotButton="0" quotePrefix="0" xfId="0">
      <alignment horizontal="left" vertical="center"/>
    </xf>
    <xf numFmtId="0" fontId="1" fillId="4" borderId="1" applyAlignment="1" pivotButton="0" quotePrefix="0" xfId="0">
      <alignment horizontal="center" vertical="center"/>
    </xf>
    <xf numFmtId="0" fontId="4" fillId="5" borderId="0" applyAlignment="1" pivotButton="0" quotePrefix="0" xfId="0">
      <alignment horizontal="left" vertical="center"/>
    </xf>
    <xf numFmtId="164" fontId="4" fillId="5" borderId="1" applyAlignment="1" pivotButton="0" quotePrefix="0" xfId="0">
      <alignment horizontal="right" vertical="center"/>
    </xf>
    <xf numFmtId="0" fontId="9" fillId="5" borderId="0" applyAlignment="1" pivotButton="0" quotePrefix="0" xfId="0">
      <alignment horizontal="left" vertical="center"/>
    </xf>
    <xf numFmtId="0" fontId="21" fillId="5" borderId="0" applyAlignment="1" pivotButton="0" quotePrefix="0" xfId="0">
      <alignment horizontal="left" vertical="center"/>
    </xf>
    <xf numFmtId="0" fontId="4" fillId="8" borderId="0" applyAlignment="1" pivotButton="0" quotePrefix="0" xfId="0">
      <alignment horizontal="left" vertical="center"/>
    </xf>
    <xf numFmtId="164" fontId="4" fillId="8" borderId="1" applyAlignment="1" pivotButton="0" quotePrefix="0" xfId="0">
      <alignment horizontal="right" vertical="center"/>
    </xf>
    <xf numFmtId="0" fontId="9" fillId="8" borderId="0" applyAlignment="1" pivotButton="0" quotePrefix="0" xfId="0">
      <alignment horizontal="left" vertical="center"/>
    </xf>
    <xf numFmtId="0" fontId="21" fillId="8" borderId="0" applyAlignment="1" pivotButton="0" quotePrefix="0" xfId="0">
      <alignment horizontal="left" vertical="center"/>
    </xf>
    <xf numFmtId="0" fontId="7" fillId="12" borderId="0" applyAlignment="1" pivotButton="0" quotePrefix="0" xfId="0">
      <alignment horizontal="left" vertical="center"/>
    </xf>
    <xf numFmtId="164" fontId="7" fillId="12" borderId="1" applyAlignment="1" pivotButton="0" quotePrefix="0" xfId="0">
      <alignment horizontal="right" vertical="center"/>
    </xf>
    <xf numFmtId="0" fontId="22" fillId="12" borderId="0" applyAlignment="1" pivotButton="0" quotePrefix="0" xfId="0">
      <alignment horizontal="left" vertical="center"/>
    </xf>
    <xf numFmtId="49" fontId="4" fillId="8" borderId="1" applyAlignment="1" pivotButton="0" quotePrefix="0" xfId="0">
      <alignment horizontal="right" vertical="center"/>
    </xf>
    <xf numFmtId="0" fontId="6" fillId="8" borderId="0" applyAlignment="1" pivotButton="0" quotePrefix="0" xfId="0">
      <alignment horizontal="left" vertical="center"/>
    </xf>
    <xf numFmtId="0" fontId="6" fillId="5" borderId="0" applyAlignment="1" pivotButton="0" quotePrefix="0" xfId="0">
      <alignment horizontal="left" vertical="center"/>
    </xf>
    <xf numFmtId="0" fontId="23" fillId="9" borderId="0" applyAlignment="1" pivotButton="0" quotePrefix="0" xfId="0">
      <alignment horizontal="left" vertical="center"/>
    </xf>
    <xf numFmtId="0" fontId="0" fillId="0" borderId="0" pivotButton="0" quotePrefix="0" xfId="0"/>
    <xf numFmtId="0" fontId="4" fillId="5" borderId="0" applyAlignment="1" pivotButton="0" quotePrefix="0" xfId="0">
      <alignment horizontal="left" vertical="center" wrapText="1"/>
    </xf>
    <xf numFmtId="0" fontId="2" fillId="3" borderId="0" applyAlignment="1" pivotButton="0" quotePrefix="0" xfId="0">
      <alignment horizontal="left" vertical="center"/>
    </xf>
    <xf numFmtId="0" fontId="11" fillId="7" borderId="0" applyAlignment="1" pivotButton="0" quotePrefix="0" xfId="0">
      <alignment horizontal="left" vertical="center"/>
    </xf>
    <xf numFmtId="0" fontId="4" fillId="8" borderId="0" applyAlignment="1" pivotButton="0" quotePrefix="0" xfId="0">
      <alignment horizontal="left" vertical="center" wrapText="1"/>
    </xf>
    <xf numFmtId="0" fontId="10" fillId="2" borderId="0" applyAlignment="1" pivotButton="0" quotePrefix="0" xfId="0">
      <alignment horizontal="left" vertical="center"/>
    </xf>
    <xf numFmtId="0" fontId="23" fillId="9" borderId="0" applyAlignment="1" pivotButton="0" quotePrefix="0" xfId="0">
      <alignment horizontal="left" vertical="center" wrapText="1"/>
    </xf>
    <xf numFmtId="0" fontId="24" fillId="2" borderId="0" applyAlignment="1" pivotButton="0" quotePrefix="0" xfId="0">
      <alignment horizontal="left" vertical="center"/>
    </xf>
    <xf numFmtId="0" fontId="25" fillId="0" borderId="0" pivotButton="0" quotePrefix="0" xfId="0"/>
    <xf numFmtId="0" fontId="26" fillId="2" borderId="0" applyAlignment="1" pivotButton="0" quotePrefix="0" xfId="0">
      <alignment horizontal="center" vertical="center"/>
    </xf>
    <xf numFmtId="0" fontId="25" fillId="0" borderId="0" pivotButton="0" quotePrefix="0" xfId="0"/>
    <xf numFmtId="0" fontId="24" fillId="3" borderId="0" applyAlignment="1" pivotButton="0" quotePrefix="0" xfId="0">
      <alignment horizontal="left" vertical="center"/>
    </xf>
    <xf numFmtId="0" fontId="27" fillId="3" borderId="0" applyAlignment="1" pivotButton="0" quotePrefix="0" xfId="0">
      <alignment horizontal="center" vertical="center"/>
    </xf>
    <xf numFmtId="0" fontId="28" fillId="3" borderId="0" applyAlignment="1" pivotButton="0" quotePrefix="0" xfId="0">
      <alignment horizontal="left" vertical="center" wrapText="1"/>
    </xf>
    <xf numFmtId="0" fontId="29" fillId="4" borderId="1" applyAlignment="1" pivotButton="0" quotePrefix="0" xfId="0">
      <alignment horizontal="center" vertical="center" wrapText="1"/>
    </xf>
    <xf numFmtId="0" fontId="30" fillId="5" borderId="0" applyAlignment="1" pivotButton="0" quotePrefix="0" xfId="0">
      <alignment horizontal="left" vertical="center"/>
    </xf>
    <xf numFmtId="0" fontId="30" fillId="6" borderId="0" applyAlignment="1" pivotButton="0" quotePrefix="0" xfId="0">
      <alignment horizontal="center" vertical="center"/>
    </xf>
    <xf numFmtId="0" fontId="31" fillId="7" borderId="0" applyAlignment="1" pivotButton="0" quotePrefix="0" xfId="0">
      <alignment horizontal="left" vertical="center"/>
    </xf>
    <xf numFmtId="0" fontId="32" fillId="7" borderId="0" applyAlignment="1" pivotButton="0" quotePrefix="0" xfId="0">
      <alignment horizontal="left" vertical="center"/>
    </xf>
    <xf numFmtId="0" fontId="33" fillId="8" borderId="1" applyAlignment="1" pivotButton="0" quotePrefix="0" xfId="0">
      <alignment horizontal="left" vertical="center" wrapText="1"/>
    </xf>
    <xf numFmtId="0" fontId="34" fillId="8" borderId="1" applyAlignment="1" pivotButton="0" quotePrefix="0" xfId="0">
      <alignment horizontal="left" vertical="center"/>
    </xf>
    <xf numFmtId="0" fontId="35" fillId="8" borderId="1" applyAlignment="1" pivotButton="0" quotePrefix="0" xfId="0">
      <alignment horizontal="left" vertical="center" wrapText="1"/>
    </xf>
    <xf numFmtId="1" fontId="32" fillId="8" borderId="1" applyAlignment="1" pivotButton="0" quotePrefix="0" xfId="0">
      <alignment horizontal="center" vertical="center"/>
    </xf>
    <xf numFmtId="4" fontId="32" fillId="8" borderId="1" applyAlignment="1" pivotButton="0" quotePrefix="0" xfId="0">
      <alignment horizontal="right" vertical="center"/>
    </xf>
    <xf numFmtId="9" fontId="32" fillId="8" borderId="1" applyAlignment="1" pivotButton="0" quotePrefix="0" xfId="0">
      <alignment horizontal="right" vertical="center"/>
    </xf>
    <xf numFmtId="9" fontId="36" fillId="6" borderId="1" applyAlignment="1" pivotButton="0" quotePrefix="0" xfId="0">
      <alignment horizontal="center" vertical="center"/>
    </xf>
    <xf numFmtId="0" fontId="36" fillId="6" borderId="1" applyAlignment="1" pivotButton="0" quotePrefix="0" xfId="0">
      <alignment horizontal="center" vertical="center"/>
    </xf>
    <xf numFmtId="3" fontId="32" fillId="8" borderId="1" applyAlignment="1" pivotButton="0" quotePrefix="0" xfId="0">
      <alignment horizontal="right" vertical="center"/>
    </xf>
    <xf numFmtId="3" fontId="37" fillId="7" borderId="1" applyAlignment="1" pivotButton="0" quotePrefix="0" xfId="0">
      <alignment horizontal="right" vertical="center"/>
    </xf>
    <xf numFmtId="0" fontId="30" fillId="8" borderId="0" applyAlignment="1" pivotButton="0" quotePrefix="0" xfId="0">
      <alignment horizontal="left" vertical="center" wrapText="1"/>
    </xf>
    <xf numFmtId="165" fontId="38" fillId="8" borderId="0" applyAlignment="1" pivotButton="0" quotePrefix="0" xfId="0">
      <alignment horizontal="right" vertical="center"/>
    </xf>
    <xf numFmtId="0" fontId="33" fillId="5" borderId="1" applyAlignment="1" pivotButton="0" quotePrefix="0" xfId="0">
      <alignment horizontal="left" vertical="center" wrapText="1"/>
    </xf>
    <xf numFmtId="0" fontId="34" fillId="5" borderId="1" applyAlignment="1" pivotButton="0" quotePrefix="0" xfId="0">
      <alignment horizontal="left" vertical="center"/>
    </xf>
    <xf numFmtId="0" fontId="35" fillId="5" borderId="1" applyAlignment="1" pivotButton="0" quotePrefix="0" xfId="0">
      <alignment horizontal="left" vertical="center" wrapText="1"/>
    </xf>
    <xf numFmtId="1" fontId="32" fillId="5" borderId="1" applyAlignment="1" pivotButton="0" quotePrefix="0" xfId="0">
      <alignment horizontal="center" vertical="center"/>
    </xf>
    <xf numFmtId="4" fontId="32" fillId="5" borderId="1" applyAlignment="1" pivotButton="0" quotePrefix="0" xfId="0">
      <alignment horizontal="right" vertical="center"/>
    </xf>
    <xf numFmtId="9" fontId="32" fillId="5" borderId="1" applyAlignment="1" pivotButton="0" quotePrefix="0" xfId="0">
      <alignment horizontal="right" vertical="center"/>
    </xf>
    <xf numFmtId="3" fontId="32" fillId="5" borderId="1" applyAlignment="1" pivotButton="0" quotePrefix="0" xfId="0">
      <alignment horizontal="right" vertical="center"/>
    </xf>
    <xf numFmtId="0" fontId="30" fillId="5" borderId="0" applyAlignment="1" pivotButton="0" quotePrefix="0" xfId="0">
      <alignment horizontal="left" vertical="center" wrapText="1"/>
    </xf>
    <xf numFmtId="165" fontId="38" fillId="5" borderId="0" applyAlignment="1" pivotButton="0" quotePrefix="0" xfId="0">
      <alignment horizontal="right" vertical="center"/>
    </xf>
    <xf numFmtId="0" fontId="33" fillId="9" borderId="1" applyAlignment="1" pivotButton="0" quotePrefix="0" xfId="0">
      <alignment horizontal="left" vertical="center" wrapText="1"/>
    </xf>
    <xf numFmtId="0" fontId="33" fillId="10" borderId="1" applyAlignment="1" pivotButton="0" quotePrefix="0" xfId="0">
      <alignment horizontal="left" vertical="center" wrapText="1"/>
    </xf>
    <xf numFmtId="0" fontId="39" fillId="3" borderId="0" applyAlignment="1" pivotButton="0" quotePrefix="0" xfId="0">
      <alignment horizontal="left" vertical="center"/>
    </xf>
    <xf numFmtId="3" fontId="40" fillId="3" borderId="2" applyAlignment="1" pivotButton="0" quotePrefix="0" xfId="0">
      <alignment horizontal="right" vertical="center"/>
    </xf>
    <xf numFmtId="165" fontId="39" fillId="3" borderId="0" applyAlignment="1" pivotButton="0" quotePrefix="0" xfId="0">
      <alignment horizontal="right" vertical="center"/>
    </xf>
    <xf numFmtId="0" fontId="41" fillId="6" borderId="0" applyAlignment="1" pivotButton="0" quotePrefix="0" xfId="0">
      <alignment horizontal="left" vertical="center" wrapText="1"/>
    </xf>
    <xf numFmtId="0" fontId="42" fillId="5" borderId="0" applyAlignment="1" pivotButton="0" quotePrefix="0" xfId="0">
      <alignment horizontal="left" vertical="center" wrapText="1"/>
    </xf>
    <xf numFmtId="0" fontId="39" fillId="2" borderId="0" applyAlignment="1" pivotButton="0" quotePrefix="0" xfId="0">
      <alignment horizontal="left" vertical="center"/>
    </xf>
    <xf numFmtId="0" fontId="32" fillId="2" borderId="0" applyAlignment="1" pivotButton="0" quotePrefix="0" xfId="0">
      <alignment horizontal="left" vertical="center"/>
    </xf>
    <xf numFmtId="0" fontId="31" fillId="11" borderId="0" applyAlignment="1" pivotButton="0" quotePrefix="0" xfId="0">
      <alignment horizontal="left" vertical="center"/>
    </xf>
    <xf numFmtId="0" fontId="32" fillId="11" borderId="0" applyAlignment="1" pivotButton="0" quotePrefix="0" xfId="0">
      <alignment horizontal="left" vertical="center"/>
    </xf>
    <xf numFmtId="0" fontId="34" fillId="8" borderId="1" applyAlignment="1" pivotButton="0" quotePrefix="0" xfId="0">
      <alignment horizontal="left" vertical="center" wrapText="1"/>
    </xf>
    <xf numFmtId="0" fontId="39" fillId="3" borderId="3" applyAlignment="1" pivotButton="0" quotePrefix="0" xfId="0">
      <alignment vertical="center"/>
    </xf>
    <xf numFmtId="0" fontId="25" fillId="13" borderId="0" pivotButton="0" quotePrefix="0" xfId="0"/>
    <xf numFmtId="0" fontId="39" fillId="13" borderId="0" applyAlignment="1" pivotButton="0" quotePrefix="0" xfId="0">
      <alignment vertical="center"/>
    </xf>
    <xf numFmtId="0" fontId="25" fillId="13" borderId="0" pivotButton="0" quotePrefix="0" xfId="0"/>
    <xf numFmtId="165" fontId="39" fillId="13" borderId="0" applyAlignment="1" pivotButton="0" quotePrefix="0" xfId="0">
      <alignment horizontal="right" vertical="center"/>
    </xf>
    <xf numFmtId="166" fontId="29" fillId="4" borderId="1" applyAlignment="1" pivotButton="0" quotePrefix="0" xfId="0">
      <alignment horizontal="center" vertical="center" wrapText="1"/>
    </xf>
    <xf numFmtId="166" fontId="25" fillId="0" borderId="0" pivotButton="0" quotePrefix="0" xfId="0"/>
    <xf numFmtId="166" fontId="37" fillId="7" borderId="1" applyAlignment="1" pivotButton="0" quotePrefix="0" xfId="0">
      <alignment horizontal="right" vertical="center"/>
    </xf>
    <xf numFmtId="166" fontId="40" fillId="3" borderId="2" applyAlignment="1" pivotButton="0" quotePrefix="0" xfId="0">
      <alignment horizontal="right" vertical="center"/>
    </xf>
    <xf numFmtId="166" fontId="40" fillId="13" borderId="2" applyAlignment="1" pivotButton="0" quotePrefix="0" xfId="0">
      <alignment horizontal="right" vertical="center"/>
    </xf>
    <xf numFmtId="0" fontId="34" fillId="5" borderId="1" applyAlignment="1" pivotButton="0" quotePrefix="0" xfId="0">
      <alignment horizontal="left" vertical="center" wrapText="1"/>
    </xf>
    <xf numFmtId="166" fontId="37" fillId="7" borderId="4" applyAlignment="1" pivotButton="0" quotePrefix="0" xfId="0">
      <alignment horizontal="right" vertical="center"/>
    </xf>
    <xf numFmtId="166" fontId="37" fillId="7" borderId="5" applyAlignment="1" pivotButton="0" quotePrefix="0" xfId="0">
      <alignment horizontal="right" vertical="center"/>
    </xf>
    <xf numFmtId="166" fontId="37" fillId="7" borderId="6" applyAlignment="1" pivotButton="0" quotePrefix="0" xfId="0">
      <alignment horizontal="right" vertical="center"/>
    </xf>
    <xf numFmtId="0" fontId="31" fillId="7" borderId="0" applyAlignment="1" pivotButton="0" quotePrefix="0" xfId="0">
      <alignment vertical="center"/>
    </xf>
    <xf numFmtId="0" fontId="31" fillId="11" borderId="0" applyAlignment="1" pivotButton="0" quotePrefix="0" xfId="0">
      <alignment vertical="center"/>
    </xf>
    <xf numFmtId="0" fontId="33" fillId="0" borderId="1" applyAlignment="1" pivotButton="0" quotePrefix="0" xfId="0">
      <alignment horizontal="left" vertical="center" wrapText="1"/>
    </xf>
    <xf numFmtId="165" fontId="38" fillId="8" borderId="0" applyAlignment="1" pivotButton="0" quotePrefix="0" xfId="0">
      <alignment horizontal="right" vertical="center"/>
    </xf>
    <xf numFmtId="165" fontId="38" fillId="5" borderId="0" applyAlignment="1" pivotButton="0" quotePrefix="0" xfId="0">
      <alignment horizontal="right" vertical="center"/>
    </xf>
    <xf numFmtId="165" fontId="39" fillId="3" borderId="0" applyAlignment="1" pivotButton="0" quotePrefix="0" xfId="0">
      <alignment horizontal="right" vertical="center"/>
    </xf>
    <xf numFmtId="0" fontId="0" fillId="0" borderId="5" pivotButton="0" quotePrefix="0" xfId="0"/>
    <xf numFmtId="0" fontId="0" fillId="0" borderId="6" pivotButton="0" quotePrefix="0" xfId="0"/>
    <xf numFmtId="165" fontId="39" fillId="13" borderId="0" applyAlignment="1" pivotButton="0" quotePrefix="0" xfId="0">
      <alignment horizontal="right" vertical="center"/>
    </xf>
    <xf numFmtId="164" fontId="4" fillId="5" borderId="1" applyAlignment="1" pivotButton="0" quotePrefix="0" xfId="0">
      <alignment horizontal="right" vertical="center"/>
    </xf>
    <xf numFmtId="164" fontId="4" fillId="8" borderId="1" applyAlignment="1" pivotButton="0" quotePrefix="0" xfId="0">
      <alignment horizontal="right" vertical="center"/>
    </xf>
    <xf numFmtId="164" fontId="7" fillId="12" borderId="1" applyAlignment="1" pivotButton="0" quotePrefix="0" xfId="0">
      <alignment horizontal="right" vertical="center"/>
    </xf>
  </cellXfs>
  <cellStyles count="1">
    <cellStyle name="Normale"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9"/>
  <sheetViews>
    <sheetView zoomScale="130" zoomScaleNormal="130" workbookViewId="0">
      <pane ySplit="4" topLeftCell="A5" activePane="bottomLeft" state="frozen"/>
      <selection pane="bottomLeft" activeCell="D6" sqref="D6"/>
    </sheetView>
  </sheetViews>
  <sheetFormatPr baseColWidth="8" defaultRowHeight="15"/>
  <cols>
    <col width="34" customWidth="1" style="47" min="1" max="1"/>
    <col width="16.7109375" customWidth="1" style="47" min="2" max="2"/>
    <col width="50" customWidth="1" style="47" min="3" max="3"/>
    <col width="5" customWidth="1" style="47" min="4" max="4"/>
    <col width="12" customWidth="1" style="47" min="5" max="6"/>
    <col width="5" customWidth="1" style="47" min="7" max="7"/>
    <col width="12" customWidth="1" style="47" min="8" max="8"/>
    <col width="5" customWidth="1" style="47" min="9" max="9"/>
    <col width="10" customWidth="1" style="47" min="10" max="10"/>
    <col width="5" customWidth="1" style="47" min="11" max="11"/>
    <col width="10" customWidth="1" style="47" min="12" max="12"/>
    <col width="5" customWidth="1" style="47" min="13" max="13"/>
    <col width="10" customWidth="1" style="47" min="14" max="14"/>
    <col width="12" customWidth="1" style="47" min="15" max="15"/>
    <col width="5" customWidth="1" style="47" min="16" max="16"/>
    <col width="10" customWidth="1" style="47" min="17" max="17"/>
    <col width="14" customWidth="1" style="47" min="18" max="18"/>
    <col width="34" customWidth="1" style="47" min="19" max="19"/>
    <col width="7" customWidth="1" style="47" min="20" max="22"/>
    <col width="9.140625" customWidth="1" style="47" min="23" max="16384"/>
  </cols>
  <sheetData>
    <row r="1" ht="21.95" customHeight="1" s="37">
      <c r="A1" s="44" t="inlineStr">
        <is>
          <t xml:space="preserve">  STIMA PRELIMINARE — ECO SHOPPER / 2WIN SRL  |  Via dei Falegnami 1/D, Castello d'Argile (BO)  |  Documento Progettista ↔ Installatore</t>
        </is>
      </c>
      <c r="S1" s="46" t="inlineStr">
        <is>
          <t>Aprile 2026</t>
        </is>
      </c>
    </row>
    <row r="2" ht="18" customHeight="1" s="37">
      <c r="A2" s="48" t="inlineStr">
        <is>
          <t xml:space="preserve">  SCENARIO A — Solo FV 25 kWp (caldaie gas invariate)</t>
        </is>
      </c>
      <c r="M2" s="49" t="inlineStr">
        <is>
          <t>Prezzi al cliente finale — IVA esclusa | Oneri professionali NON inclusi</t>
        </is>
      </c>
      <c r="S2" s="50" t="inlineStr">
        <is>
          <t>54 pan. JKM460N 460Wp | Inv. ibrido 25kW DC-coupled | PVGIS 1.490 kWh/kWp | SC%≈60%</t>
        </is>
      </c>
    </row>
    <row r="3" ht="33.95" customHeight="1" s="37">
      <c r="A3" s="51" t="inlineStr">
        <is>
          <t>Articolo / Descrizione</t>
        </is>
      </c>
      <c r="B3" s="51" t="inlineStr">
        <is>
          <t>Marca / Rif.</t>
        </is>
      </c>
      <c r="C3" s="51" t="inlineStr">
        <is>
          <t>Specifiche tecniche e note</t>
        </is>
      </c>
      <c r="D3" s="51" t="inlineStr">
        <is>
          <t>q.ta</t>
        </is>
      </c>
      <c r="E3" s="51" t="inlineStr">
        <is>
          <t>P.U. netto
install. €</t>
        </is>
      </c>
      <c r="F3" s="51" t="inlineStr">
        <is>
          <t>Importo
fornitura €</t>
        </is>
      </c>
      <c r="G3" s="51" t="inlineStr">
        <is>
          <t>sc.%</t>
        </is>
      </c>
      <c r="H3" s="51" t="inlineStr">
        <is>
          <t>Costo
materiale €</t>
        </is>
      </c>
      <c r="I3" s="51" t="inlineStr">
        <is>
          <t>op.
acc%</t>
        </is>
      </c>
      <c r="J3" s="51" t="inlineStr">
        <is>
          <t>op.acc
€</t>
        </is>
      </c>
      <c r="K3" s="51" t="inlineStr">
        <is>
          <t>inst.
%</t>
        </is>
      </c>
      <c r="L3" s="51" t="inlineStr">
        <is>
          <t>install
€</t>
        </is>
      </c>
      <c r="M3" s="51" t="inlineStr">
        <is>
          <t>ric.
%</t>
        </is>
      </c>
      <c r="N3" s="51" t="inlineStr">
        <is>
          <t>ricarico
€</t>
        </is>
      </c>
      <c r="O3" s="51" t="inlineStr">
        <is>
          <t>TOT
riga €</t>
        </is>
      </c>
      <c r="P3" s="51" t="inlineStr">
        <is>
          <t>impr
%</t>
        </is>
      </c>
      <c r="Q3" s="51" t="inlineStr">
        <is>
          <t>impr.
€</t>
        </is>
      </c>
      <c r="R3" s="51" t="inlineStr">
        <is>
          <t>PREZZO
CLIENTE €</t>
        </is>
      </c>
      <c r="S3" s="51" t="inlineStr">
        <is>
          <t>Nota / Fonte / Affidabilità</t>
        </is>
      </c>
      <c r="T3" s="51" t="inlineStr">
        <is>
          <t>h</t>
        </is>
      </c>
      <c r="U3" s="51" t="inlineStr">
        <is>
          <t>2p</t>
        </is>
      </c>
      <c r="V3" s="51" t="inlineStr">
        <is>
          <t>gg</t>
        </is>
      </c>
    </row>
    <row r="4" ht="11.1" customHeight="1" s="37">
      <c r="A4" s="52" t="inlineStr">
        <is>
          <t xml:space="preserve">  Coefficienti individuali per riga (non uniformi) — vedi colonne I, K, M, P</t>
        </is>
      </c>
      <c r="I4" s="53" t="inlineStr">
        <is>
          <t>↓ riga</t>
        </is>
      </c>
      <c r="K4" s="53" t="inlineStr">
        <is>
          <t>↓ riga</t>
        </is>
      </c>
      <c r="M4" s="53" t="inlineStr">
        <is>
          <t>↓ riga</t>
        </is>
      </c>
      <c r="P4" s="53" t="inlineStr">
        <is>
          <t>↓ riga</t>
        </is>
      </c>
    </row>
    <row r="5" ht="12.95" customHeight="1" s="37">
      <c r="A5" s="54" t="inlineStr">
        <is>
          <t xml:space="preserve">  FORNITURA PANNELLI FOTOVOLTAICI</t>
        </is>
      </c>
      <c r="S5" s="55" t="n"/>
      <c r="T5" s="55" t="n"/>
      <c r="V5" s="55" t="n"/>
    </row>
    <row r="6" ht="36" customHeight="1" s="37">
      <c r="A6" s="56" t="inlineStr">
        <is>
          <t>Pannelli FV JKM460N-48HL4M-BDV-Z3-EU — n.54 pz.</t>
        </is>
      </c>
      <c r="B6" s="88" t="inlineStr">
        <is>
          <t>JinkoSolar Tiger Neo</t>
        </is>
      </c>
      <c r="C6" s="58" t="inlineStr">
        <is>
          <t>460 Wp STC, N-type TOPCon bifacciale dual glass, η=23,02%, bifacialità φ=80%, T.C.Pmax −0,29%/°C (migliore del Si p-type). Garanzia prodotto 15a / potenza lineare 30a (87,4% a 30a, deg. 0,40%/a). Configurazione: 54 pannelli × 460 Wp = 24.8 kWp.</t>
        </is>
      </c>
      <c r="D6" s="59" t="n">
        <v>54</v>
      </c>
      <c r="E6" s="60" t="n">
        <v>105</v>
      </c>
      <c r="F6" s="60">
        <f>D6*E6</f>
        <v/>
      </c>
      <c r="G6" s="61" t="n">
        <v>0</v>
      </c>
      <c r="H6" s="60">
        <f>F6*(1-G6)</f>
        <v/>
      </c>
      <c r="I6" s="62" t="n">
        <v>0.02</v>
      </c>
      <c r="J6" s="60">
        <f>H6*I6</f>
        <v/>
      </c>
      <c r="K6" s="62" t="n">
        <v>0.2</v>
      </c>
      <c r="L6" s="60">
        <f>(H6+J6)*K6</f>
        <v/>
      </c>
      <c r="M6" s="62" t="n">
        <v>0.22</v>
      </c>
      <c r="N6" s="60">
        <f>(H6+J6+L6)*M6</f>
        <v/>
      </c>
      <c r="O6" s="60">
        <f>H6+J6+L6+N6</f>
        <v/>
      </c>
      <c r="P6" s="63" t="n">
        <v>0.1</v>
      </c>
      <c r="Q6" s="64">
        <f>O6*P6</f>
        <v/>
      </c>
      <c r="R6" s="65">
        <f>O6+Q6</f>
        <v/>
      </c>
      <c r="S6" s="66" t="inlineStr">
        <is>
          <t>〰️ prezzo netto installatore stimato 0,228 €/Wp — mercato IT 2026 N-type bifacciale: 0,20÷0,25 €/Wp</t>
        </is>
      </c>
      <c r="T6" s="106">
        <f>L6/52</f>
        <v/>
      </c>
      <c r="U6" s="106">
        <f>T6/2</f>
        <v/>
      </c>
      <c r="V6" s="106">
        <f>U6/8</f>
        <v/>
      </c>
    </row>
    <row r="7" ht="12.95" customHeight="1" s="37">
      <c r="A7" s="54" t="inlineStr">
        <is>
          <t xml:space="preserve">  INVERTER, MISURA E PROTEZIONI</t>
        </is>
      </c>
      <c r="S7" s="55" t="n"/>
      <c r="T7" s="55" t="n"/>
      <c r="V7" s="55" t="n"/>
    </row>
    <row r="8" ht="36" customHeight="1" s="37">
      <c r="A8" s="56" t="inlineStr">
        <is>
          <t>Inverter ibrido trifase DC-coupled 25 kW</t>
        </is>
      </c>
      <c r="B8" s="88" t="inlineStr">
        <is>
          <t>SMA / Fronius / Huawei (da definire in fase esecutiva)</t>
        </is>
      </c>
      <c r="C8" s="58" t="inlineStr">
        <is>
          <t>400V 3+N+PE 50Hz, predisposizione storage DC-coupled nativa, ≥2 MPPT indipendenti, monitoraggio remoto integrato, efficienza max &gt;98%, conforme CEI 0-21, gestione SmartGrid per priorità autoconsumo.</t>
        </is>
      </c>
      <c r="D8" s="59" t="n">
        <v>1</v>
      </c>
      <c r="E8" s="60" t="n">
        <v>3900</v>
      </c>
      <c r="F8" s="60">
        <f>D8*E8</f>
        <v/>
      </c>
      <c r="G8" s="61" t="n">
        <v>0</v>
      </c>
      <c r="H8" s="60">
        <f>F8*(1-G8)</f>
        <v/>
      </c>
      <c r="I8" s="62" t="n">
        <v>0.02</v>
      </c>
      <c r="J8" s="60">
        <f>H8*I8</f>
        <v/>
      </c>
      <c r="K8" s="62" t="n">
        <v>0.07000000000000001</v>
      </c>
      <c r="L8" s="60">
        <f>(H8+J8)*K8</f>
        <v/>
      </c>
      <c r="M8" s="62" t="n">
        <v>0.25</v>
      </c>
      <c r="N8" s="60">
        <f>(H8+J8+L8)*M8</f>
        <v/>
      </c>
      <c r="O8" s="60">
        <f>H8+J8+L8+N8</f>
        <v/>
      </c>
      <c r="P8" s="63" t="n">
        <v>0.1</v>
      </c>
      <c r="Q8" s="64">
        <f>O8*P8</f>
        <v/>
      </c>
      <c r="R8" s="65">
        <f>O8+Q8</f>
        <v/>
      </c>
      <c r="S8" s="66" t="inlineStr">
        <is>
          <t>〰️ stima listino 2026 — da confrontare con offerta installatore: SMA STP-X 25: ~3.500-4.200 €; Fronius GEN24 25: ~4.000-5.000 €</t>
        </is>
      </c>
      <c r="T8" s="106">
        <f>L8/52</f>
        <v/>
      </c>
      <c r="U8" s="106">
        <f>T8/2</f>
        <v/>
      </c>
      <c r="V8" s="106">
        <f>U8/8</f>
        <v/>
      </c>
    </row>
    <row r="9" ht="36" customHeight="1" s="37">
      <c r="A9" s="68" t="inlineStr">
        <is>
          <t>Quadro AC protezioni FV + SPI interno</t>
        </is>
      </c>
      <c r="B9" s="69" t="n"/>
      <c r="C9" s="70" t="inlineStr">
        <is>
          <t>MCCB AC lato rete, SPD Classe II AC, sezionatore con blocco-porta, contattore, morsettiere, armadio IP65.</t>
        </is>
      </c>
      <c r="D9" s="71" t="n">
        <v>1</v>
      </c>
      <c r="E9" s="72" t="n">
        <v>540</v>
      </c>
      <c r="F9" s="72">
        <f>D9*E9</f>
        <v/>
      </c>
      <c r="G9" s="73" t="n">
        <v>0</v>
      </c>
      <c r="H9" s="72">
        <f>F9*(1-G9)</f>
        <v/>
      </c>
      <c r="I9" s="62" t="n">
        <v>0.07000000000000001</v>
      </c>
      <c r="J9" s="72">
        <f>H9*I9</f>
        <v/>
      </c>
      <c r="K9" s="62" t="n">
        <v>0.28</v>
      </c>
      <c r="L9" s="72">
        <f>(H9+J9)*K9</f>
        <v/>
      </c>
      <c r="M9" s="62" t="n">
        <v>0.22</v>
      </c>
      <c r="N9" s="72">
        <f>(H9+J9+L9)*M9</f>
        <v/>
      </c>
      <c r="O9" s="72">
        <f>H9+J9+L9+N9</f>
        <v/>
      </c>
      <c r="P9" s="63" t="n">
        <v>0.1</v>
      </c>
      <c r="Q9" s="74">
        <f>O9*P9</f>
        <v/>
      </c>
      <c r="R9" s="65">
        <f>O9+Q9</f>
        <v/>
      </c>
      <c r="S9" s="75" t="inlineStr">
        <is>
          <t>〰️ stima</t>
        </is>
      </c>
      <c r="T9" s="107">
        <f>L9/52</f>
        <v/>
      </c>
      <c r="U9" s="107">
        <f>T9/2</f>
        <v/>
      </c>
      <c r="V9" s="107">
        <f>U9/8</f>
        <v/>
      </c>
    </row>
    <row r="10" ht="36" customHeight="1" s="37">
      <c r="A10" s="56" t="inlineStr">
        <is>
          <t>Contatore bidirezionale produzione + scambio</t>
        </is>
      </c>
      <c r="B10" s="57" t="n"/>
      <c r="C10" s="58" t="inlineStr">
        <is>
          <t>Misura produzione, energia immessa e prelevata — obbligatorio per pratiche GSE e SSP.</t>
        </is>
      </c>
      <c r="D10" s="59" t="n">
        <v>1</v>
      </c>
      <c r="E10" s="60" t="n">
        <v>260</v>
      </c>
      <c r="F10" s="60">
        <f>D10*E10</f>
        <v/>
      </c>
      <c r="G10" s="61" t="n">
        <v>0</v>
      </c>
      <c r="H10" s="60">
        <f>F10*(1-G10)</f>
        <v/>
      </c>
      <c r="I10" s="62" t="n">
        <v>0.07000000000000001</v>
      </c>
      <c r="J10" s="60">
        <f>H10*I10</f>
        <v/>
      </c>
      <c r="K10" s="62" t="n">
        <v>0.28</v>
      </c>
      <c r="L10" s="60">
        <f>(H10+J10)*K10</f>
        <v/>
      </c>
      <c r="M10" s="62" t="n">
        <v>0.22</v>
      </c>
      <c r="N10" s="60">
        <f>(H10+J10+L10)*M10</f>
        <v/>
      </c>
      <c r="O10" s="60">
        <f>H10+J10+L10+N10</f>
        <v/>
      </c>
      <c r="P10" s="63" t="n">
        <v>0.1</v>
      </c>
      <c r="Q10" s="64">
        <f>O10*P10</f>
        <v/>
      </c>
      <c r="R10" s="65">
        <f>O10+Q10</f>
        <v/>
      </c>
      <c r="S10" s="66" t="inlineStr">
        <is>
          <t>〰️ stima — verificare requisiti specifici E-Distribuzione</t>
        </is>
      </c>
      <c r="T10" s="106">
        <f>L10/52</f>
        <v/>
      </c>
      <c r="U10" s="106">
        <f>T10/2</f>
        <v/>
      </c>
      <c r="V10" s="106">
        <f>U10/8</f>
        <v/>
      </c>
    </row>
    <row r="11" ht="12.95" customHeight="1" s="37">
      <c r="A11" s="54" t="inlineStr">
        <is>
          <t xml:space="preserve">  STRUTTURE DI MONTAGGIO — TETTO PIANO</t>
        </is>
      </c>
      <c r="S11" s="55" t="n"/>
      <c r="T11" s="55" t="n"/>
      <c r="V11" s="55" t="n"/>
    </row>
    <row r="12" ht="36" customHeight="1" s="37">
      <c r="A12" s="56" t="inlineStr">
        <is>
          <t>Struttura ballast tetto piano, inclinazione 35° — n.54 pannelli</t>
        </is>
      </c>
      <c r="B12" s="88" t="inlineStr">
        <is>
          <t>Schletter / K2 / Aerocompact</t>
        </is>
      </c>
      <c r="C12" s="58" t="inlineStr">
        <is>
          <t>Profili alluminio anodizzato, supporti acciaio zincato, inclinazione 35°, zavorra blocchi cls prefabbricati (no foratura copertura). Certificata carichi vento zona padana (EN 1991-1-4) e neve Zona I. NOTA: accesso copertura con scala permanente (esistente) — materiali saliti con tiraggio manuale, NO ponteggio. Pitch inter-fila 4,0m → area occupata 243 m² su ~580 m² disponibili.</t>
        </is>
      </c>
      <c r="D12" s="59" t="n">
        <v>1</v>
      </c>
      <c r="E12" s="60" t="n">
        <v>1600</v>
      </c>
      <c r="F12" s="60">
        <f>D12*E12</f>
        <v/>
      </c>
      <c r="G12" s="61" t="n">
        <v>0</v>
      </c>
      <c r="H12" s="60">
        <f>F12*(1-G12)</f>
        <v/>
      </c>
      <c r="I12" s="62" t="n">
        <v>0.04</v>
      </c>
      <c r="J12" s="60">
        <f>H12*I12</f>
        <v/>
      </c>
      <c r="K12" s="62" t="n">
        <v>0.22</v>
      </c>
      <c r="L12" s="60">
        <f>(H12+J12)*K12</f>
        <v/>
      </c>
      <c r="M12" s="62" t="n">
        <v>0.22</v>
      </c>
      <c r="N12" s="60">
        <f>(H12+J12+L12)*M12</f>
        <v/>
      </c>
      <c r="O12" s="60">
        <f>H12+J12+L12+N12</f>
        <v/>
      </c>
      <c r="P12" s="63" t="n">
        <v>0.1</v>
      </c>
      <c r="Q12" s="64">
        <f>O12*P12</f>
        <v/>
      </c>
      <c r="R12" s="65">
        <f>O12+Q12</f>
        <v/>
      </c>
      <c r="S12" s="66" t="inlineStr">
        <is>
          <t>〰️ stima — include bulloneria e zavorra. Verifica strutturale copertura necessaria (carico aggiuntivo ~15 kg/m²)</t>
        </is>
      </c>
      <c r="T12" s="106">
        <f>L12/52</f>
        <v/>
      </c>
      <c r="U12" s="106">
        <f>T12/2</f>
        <v/>
      </c>
      <c r="V12" s="106">
        <f>U12/8</f>
        <v/>
      </c>
    </row>
    <row r="13" ht="12.95" customHeight="1" s="37">
      <c r="A13" s="54" t="inlineStr">
        <is>
          <t xml:space="preserve">  CABLAGGIO DC / AC / MESSA A TERRA</t>
        </is>
      </c>
      <c r="S13" s="55" t="n"/>
      <c r="T13" s="55" t="n"/>
      <c r="V13" s="55" t="n"/>
    </row>
    <row r="14" ht="36" customHeight="1" s="37">
      <c r="A14" s="56" t="inlineStr">
        <is>
          <t>Cavi DC 4mm² 1.800V doppio isolamento UV-resist.</t>
        </is>
      </c>
      <c r="B14" s="57" t="n"/>
      <c r="C14" s="58" t="inlineStr">
        <is>
          <t>Cavi unipolari +/− dalle stringhe all'inverter, connettori MC4, passaggi stagni copertura, protezione meccanica.</t>
        </is>
      </c>
      <c r="D14" s="59" t="n">
        <v>1</v>
      </c>
      <c r="E14" s="60" t="n">
        <v>620</v>
      </c>
      <c r="F14" s="60">
        <f>D14*E14</f>
        <v/>
      </c>
      <c r="G14" s="61" t="n">
        <v>0</v>
      </c>
      <c r="H14" s="60">
        <f>F14*(1-G14)</f>
        <v/>
      </c>
      <c r="I14" s="62" t="n">
        <v>0.07000000000000001</v>
      </c>
      <c r="J14" s="60">
        <f>H14*I14</f>
        <v/>
      </c>
      <c r="K14" s="62" t="n">
        <v>0.28</v>
      </c>
      <c r="L14" s="60">
        <f>(H14+J14)*K14</f>
        <v/>
      </c>
      <c r="M14" s="62" t="n">
        <v>0.22</v>
      </c>
      <c r="N14" s="60">
        <f>(H14+J14+L14)*M14</f>
        <v/>
      </c>
      <c r="O14" s="60">
        <f>H14+J14+L14+N14</f>
        <v/>
      </c>
      <c r="P14" s="63" t="n">
        <v>0.1</v>
      </c>
      <c r="Q14" s="64">
        <f>O14*P14</f>
        <v/>
      </c>
      <c r="R14" s="65">
        <f>O14+Q14</f>
        <v/>
      </c>
      <c r="S14" s="66" t="inlineStr">
        <is>
          <t>〰️ stima</t>
        </is>
      </c>
      <c r="T14" s="106">
        <f>L14/52</f>
        <v/>
      </c>
      <c r="U14" s="106">
        <f>T14/2</f>
        <v/>
      </c>
      <c r="V14" s="106">
        <f>U14/8</f>
        <v/>
      </c>
    </row>
    <row r="15" ht="36" customHeight="1" s="37">
      <c r="A15" s="68" t="inlineStr">
        <is>
          <t>Protezioni lato DC: scatole stringa + fusibili + sezionatore</t>
        </is>
      </c>
      <c r="B15" s="69" t="n"/>
      <c r="C15" s="70" t="inlineStr">
        <is>
          <t>Box stringa IP65 per ogni stringa, fusibili 15A per polo, sezionatore DC 4P, SPD Classe II DC.</t>
        </is>
      </c>
      <c r="D15" s="71" t="n">
        <v>1</v>
      </c>
      <c r="E15" s="72" t="n">
        <v>400</v>
      </c>
      <c r="F15" s="72">
        <f>D15*E15</f>
        <v/>
      </c>
      <c r="G15" s="73" t="n">
        <v>0</v>
      </c>
      <c r="H15" s="72">
        <f>F15*(1-G15)</f>
        <v/>
      </c>
      <c r="I15" s="62" t="n">
        <v>0.07000000000000001</v>
      </c>
      <c r="J15" s="72">
        <f>H15*I15</f>
        <v/>
      </c>
      <c r="K15" s="62" t="n">
        <v>0.28</v>
      </c>
      <c r="L15" s="72">
        <f>(H15+J15)*K15</f>
        <v/>
      </c>
      <c r="M15" s="62" t="n">
        <v>0.22</v>
      </c>
      <c r="N15" s="72">
        <f>(H15+J15+L15)*M15</f>
        <v/>
      </c>
      <c r="O15" s="72">
        <f>H15+J15+L15+N15</f>
        <v/>
      </c>
      <c r="P15" s="63" t="n">
        <v>0.1</v>
      </c>
      <c r="Q15" s="74">
        <f>O15*P15</f>
        <v/>
      </c>
      <c r="R15" s="65">
        <f>O15+Q15</f>
        <v/>
      </c>
      <c r="S15" s="75" t="inlineStr">
        <is>
          <t>〰️ stima</t>
        </is>
      </c>
      <c r="T15" s="107">
        <f>L15/52</f>
        <v/>
      </c>
      <c r="U15" s="107">
        <f>T15/2</f>
        <v/>
      </c>
      <c r="V15" s="107">
        <f>U15/8</f>
        <v/>
      </c>
    </row>
    <row r="16" ht="36" customHeight="1" s="37">
      <c r="A16" s="56" t="inlineStr">
        <is>
          <t>Cavo AC trifase inverter → quadro AC</t>
        </is>
      </c>
      <c r="B16" s="57" t="n"/>
      <c r="C16" s="58" t="inlineStr">
        <is>
          <t>FG7OR 5G10mm² (stima 30m copertura→QE), conduit staffato.</t>
        </is>
      </c>
      <c r="D16" s="59" t="n">
        <v>1</v>
      </c>
      <c r="E16" s="60" t="n">
        <v>340</v>
      </c>
      <c r="F16" s="60">
        <f>D16*E16</f>
        <v/>
      </c>
      <c r="G16" s="61" t="n">
        <v>0</v>
      </c>
      <c r="H16" s="60">
        <f>F16*(1-G16)</f>
        <v/>
      </c>
      <c r="I16" s="62" t="n">
        <v>0.07000000000000001</v>
      </c>
      <c r="J16" s="60">
        <f>H16*I16</f>
        <v/>
      </c>
      <c r="K16" s="62" t="n">
        <v>0.28</v>
      </c>
      <c r="L16" s="60">
        <f>(H16+J16)*K16</f>
        <v/>
      </c>
      <c r="M16" s="62" t="n">
        <v>0.22</v>
      </c>
      <c r="N16" s="60">
        <f>(H16+J16+L16)*M16</f>
        <v/>
      </c>
      <c r="O16" s="60">
        <f>H16+J16+L16+N16</f>
        <v/>
      </c>
      <c r="P16" s="63" t="n">
        <v>0.1</v>
      </c>
      <c r="Q16" s="64">
        <f>O16*P16</f>
        <v/>
      </c>
      <c r="R16" s="65">
        <f>O16+Q16</f>
        <v/>
      </c>
      <c r="S16" s="66" t="inlineStr">
        <is>
          <t>〰️ stima</t>
        </is>
      </c>
      <c r="T16" s="106">
        <f>L16/52</f>
        <v/>
      </c>
      <c r="U16" s="106">
        <f>T16/2</f>
        <v/>
      </c>
      <c r="V16" s="106">
        <f>U16/8</f>
        <v/>
      </c>
    </row>
    <row r="17" ht="36" customHeight="1" s="37">
      <c r="A17" s="68" t="inlineStr">
        <is>
          <t>Messa a terra strutture FV + equipotenziale</t>
        </is>
      </c>
      <c r="B17" s="69" t="n"/>
      <c r="C17" s="70" t="inlineStr">
        <is>
          <t>Anello equipotenziale strutture metalliche, picchetto dispersore dedicato.</t>
        </is>
      </c>
      <c r="D17" s="71" t="n">
        <v>1</v>
      </c>
      <c r="E17" s="72" t="n">
        <v>230</v>
      </c>
      <c r="F17" s="72">
        <f>D17*E17</f>
        <v/>
      </c>
      <c r="G17" s="73" t="n">
        <v>0</v>
      </c>
      <c r="H17" s="72">
        <f>F17*(1-G17)</f>
        <v/>
      </c>
      <c r="I17" s="62" t="n">
        <v>0.07000000000000001</v>
      </c>
      <c r="J17" s="72">
        <f>H17*I17</f>
        <v/>
      </c>
      <c r="K17" s="62" t="n">
        <v>0.28</v>
      </c>
      <c r="L17" s="72">
        <f>(H17+J17)*K17</f>
        <v/>
      </c>
      <c r="M17" s="62" t="n">
        <v>0.22</v>
      </c>
      <c r="N17" s="72">
        <f>(H17+J17+L17)*M17</f>
        <v/>
      </c>
      <c r="O17" s="72">
        <f>H17+J17+L17+N17</f>
        <v/>
      </c>
      <c r="P17" s="63" t="n">
        <v>0.1</v>
      </c>
      <c r="Q17" s="74">
        <f>O17*P17</f>
        <v/>
      </c>
      <c r="R17" s="65">
        <f>O17+Q17</f>
        <v/>
      </c>
      <c r="S17" s="75" t="inlineStr">
        <is>
          <t>〰️ stima</t>
        </is>
      </c>
      <c r="T17" s="107">
        <f>L17/52</f>
        <v/>
      </c>
      <c r="U17" s="107">
        <f>T17/2</f>
        <v/>
      </c>
      <c r="V17" s="107">
        <f>U17/8</f>
        <v/>
      </c>
    </row>
    <row r="18" ht="36" customHeight="1" s="37">
      <c r="A18" s="56" t="inlineStr">
        <is>
          <t>Conduit, passaggi copertura stagni, staffaggi</t>
        </is>
      </c>
      <c r="B18" s="57" t="n"/>
      <c r="C18" s="58" t="inlineStr">
        <is>
          <t>Conduit corrugato UV-resist. in copertura, passaggi parete/copertura stagni, fascette inox, supporti cavo su struttura.</t>
        </is>
      </c>
      <c r="D18" s="59" t="n">
        <v>1</v>
      </c>
      <c r="E18" s="60" t="n">
        <v>380</v>
      </c>
      <c r="F18" s="60">
        <f>D18*E18</f>
        <v/>
      </c>
      <c r="G18" s="61" t="n">
        <v>0</v>
      </c>
      <c r="H18" s="60">
        <f>F18*(1-G18)</f>
        <v/>
      </c>
      <c r="I18" s="62" t="n">
        <v>0.07000000000000001</v>
      </c>
      <c r="J18" s="60">
        <f>H18*I18</f>
        <v/>
      </c>
      <c r="K18" s="62" t="n">
        <v>0.28</v>
      </c>
      <c r="L18" s="60">
        <f>(H18+J18)*K18</f>
        <v/>
      </c>
      <c r="M18" s="62" t="n">
        <v>0.22</v>
      </c>
      <c r="N18" s="60">
        <f>(H18+J18+L18)*M18</f>
        <v/>
      </c>
      <c r="O18" s="60">
        <f>H18+J18+L18+N18</f>
        <v/>
      </c>
      <c r="P18" s="63" t="n">
        <v>0.1</v>
      </c>
      <c r="Q18" s="64">
        <f>O18*P18</f>
        <v/>
      </c>
      <c r="R18" s="65">
        <f>O18+Q18</f>
        <v/>
      </c>
      <c r="S18" s="66" t="inlineStr">
        <is>
          <t>〰️ stima</t>
        </is>
      </c>
      <c r="T18" s="106">
        <f>L18/52</f>
        <v/>
      </c>
      <c r="U18" s="106">
        <f>T18/2</f>
        <v/>
      </c>
      <c r="V18" s="106">
        <f>U18/8</f>
        <v/>
      </c>
    </row>
    <row r="19" ht="12.95" customHeight="1" s="37">
      <c r="A19" s="54" t="inlineStr">
        <is>
          <t xml:space="preserve">  PREDISPOSIZIONE STORAGE</t>
        </is>
      </c>
      <c r="S19" s="55" t="n"/>
      <c r="T19" s="55" t="n"/>
      <c r="V19" s="55" t="n"/>
    </row>
    <row r="20" ht="36" customHeight="1" s="37">
      <c r="A20" s="77" t="inlineStr">
        <is>
          <t>Predisposizione accumulo batterie DC-coupled</t>
        </is>
      </c>
      <c r="B20" s="57" t="n"/>
      <c r="C20" s="58" t="inlineStr">
        <is>
          <t>Cavi DC dall'inverter ibrido al vano batteria (stima 5m), morsettiera dedicata etichettata, spazio riservato armadio inverter. BATTERIA NON INCLUSA: analisi economica ha escluso storage attivo (consumo notturno &lt;5 kWh/g, PB &gt;25a). Rivalutare se si aggiunge ricarica auto aziendale o turni serali.</t>
        </is>
      </c>
      <c r="D20" s="59" t="n">
        <v>1</v>
      </c>
      <c r="E20" s="60" t="n">
        <v>290</v>
      </c>
      <c r="F20" s="60">
        <f>D20*E20</f>
        <v/>
      </c>
      <c r="G20" s="61" t="n">
        <v>0</v>
      </c>
      <c r="H20" s="60">
        <f>F20*(1-G20)</f>
        <v/>
      </c>
      <c r="I20" s="62" t="n">
        <v>0.07000000000000001</v>
      </c>
      <c r="J20" s="60">
        <f>H20*I20</f>
        <v/>
      </c>
      <c r="K20" s="62" t="n">
        <v>0.28</v>
      </c>
      <c r="L20" s="60">
        <f>(H20+J20)*K20</f>
        <v/>
      </c>
      <c r="M20" s="62" t="n">
        <v>0.22</v>
      </c>
      <c r="N20" s="60">
        <f>(H20+J20+L20)*M20</f>
        <v/>
      </c>
      <c r="O20" s="60">
        <f>H20+J20+L20+N20</f>
        <v/>
      </c>
      <c r="P20" s="63" t="n">
        <v>0.1</v>
      </c>
      <c r="Q20" s="64">
        <f>O20*P20</f>
        <v/>
      </c>
      <c r="R20" s="65">
        <f>O20+Q20</f>
        <v/>
      </c>
      <c r="S20" s="66" t="inlineStr">
        <is>
          <t>✅ investimento minimo per opzionalità futura</t>
        </is>
      </c>
      <c r="T20" s="106">
        <f>L20/52</f>
        <v/>
      </c>
      <c r="U20" s="106">
        <f>T20/2</f>
        <v/>
      </c>
      <c r="V20" s="106">
        <f>U20/8</f>
        <v/>
      </c>
    </row>
    <row r="21" ht="12.95" customHeight="1" s="37">
      <c r="A21" s="54" t="inlineStr">
        <is>
          <t xml:space="preserve">  PRATICHE E CONNESSIONE RETE</t>
        </is>
      </c>
      <c r="S21" s="55" t="n"/>
      <c r="T21" s="55" t="n"/>
      <c r="V21" s="55" t="n"/>
    </row>
    <row r="22" ht="36" customHeight="1" s="37">
      <c r="A22" s="56" t="inlineStr">
        <is>
          <t>Pratiche GSE — comunicazione preventiva + fine lavori + SSP</t>
        </is>
      </c>
      <c r="B22" s="57" t="n"/>
      <c r="C22" s="58" t="inlineStr">
        <is>
          <t>Portale GSE: comunicazione preventiva impianto, dichiarazione fine lavori, iscrizione SSP (Scambio Sul Posto) o verifica autoconsumo istantaneo, SCIA se richiesta dal Comune.</t>
        </is>
      </c>
      <c r="D22" s="59" t="n">
        <v>1</v>
      </c>
      <c r="E22" s="60" t="n">
        <v>650</v>
      </c>
      <c r="F22" s="60">
        <f>D22*E22</f>
        <v/>
      </c>
      <c r="G22" s="61" t="n">
        <v>0</v>
      </c>
      <c r="H22" s="60">
        <f>F22*(1-G22)</f>
        <v/>
      </c>
      <c r="I22" s="62" t="n">
        <v>0</v>
      </c>
      <c r="J22" s="60">
        <f>H22*I22</f>
        <v/>
      </c>
      <c r="K22" s="62" t="n">
        <v>0</v>
      </c>
      <c r="L22" s="60">
        <f>(H22+J22)*K22</f>
        <v/>
      </c>
      <c r="M22" s="62" t="n">
        <v>0.12</v>
      </c>
      <c r="N22" s="60">
        <f>(H22+J22+L22)*M22</f>
        <v/>
      </c>
      <c r="O22" s="60">
        <f>H22+J22+L22+N22</f>
        <v/>
      </c>
      <c r="P22" s="63" t="n">
        <v>0</v>
      </c>
      <c r="Q22" s="64">
        <f>O22*P22</f>
        <v/>
      </c>
      <c r="R22" s="65">
        <f>O22+Q22</f>
        <v/>
      </c>
      <c r="S22" s="66" t="inlineStr">
        <is>
          <t>〰️ stima coordinamento pratiche — oneri tecnici a parte</t>
        </is>
      </c>
      <c r="T22" s="106" t="n">
        <v>0</v>
      </c>
      <c r="U22" s="106" t="n">
        <v>0</v>
      </c>
      <c r="V22" s="106" t="n">
        <v>0</v>
      </c>
    </row>
    <row r="23" ht="36" customHeight="1" s="37">
      <c r="A23" s="78" t="inlineStr">
        <is>
          <t>Connessione E-Distribuzione — preventivo e iter allacciamento</t>
        </is>
      </c>
      <c r="B23" s="69" t="inlineStr">
        <is>
          <t>E-DISTRIBUZIONE S.p.A.</t>
        </is>
      </c>
      <c r="C23" s="70" t="inlineStr">
        <is>
          <t>Preventivo connessione BT trifase, adeguamento protezione interfaccia (SPI se &gt; soglia), iter autorizzativo stimato 60-90 giorni. IMPORTO DA PREVENTIVO FORMALE — stimato a upper bound prudenziale.</t>
        </is>
      </c>
      <c r="D23" s="71" t="n">
        <v>1</v>
      </c>
      <c r="E23" s="72" t="n">
        <v>2500</v>
      </c>
      <c r="F23" s="72">
        <f>D23*E23</f>
        <v/>
      </c>
      <c r="G23" s="73" t="n">
        <v>0</v>
      </c>
      <c r="H23" s="72">
        <f>F23*(1-G23)</f>
        <v/>
      </c>
      <c r="I23" s="62" t="n">
        <v>0</v>
      </c>
      <c r="J23" s="72" t="n">
        <v>0</v>
      </c>
      <c r="K23" s="62" t="n">
        <v>0</v>
      </c>
      <c r="L23" s="72" t="n">
        <v>0</v>
      </c>
      <c r="M23" s="62" t="n">
        <v>0</v>
      </c>
      <c r="N23" s="72">
        <f>H23*M23</f>
        <v/>
      </c>
      <c r="O23" s="72">
        <f>H23+N23</f>
        <v/>
      </c>
      <c r="P23" s="63" t="n">
        <v>0</v>
      </c>
      <c r="Q23" s="74">
        <f>O23*P23</f>
        <v/>
      </c>
      <c r="R23" s="65">
        <f>O23+Q23</f>
        <v/>
      </c>
      <c r="S23" s="75" t="inlineStr">
        <is>
          <t>⚠️ AZIONE IMMEDIATA: richiedere preventivo E-Distribuzione — il tempo di connessione vincola la data di entrata in esercizio</t>
        </is>
      </c>
      <c r="T23" s="107" t="n">
        <v>0</v>
      </c>
      <c r="U23" s="107" t="n">
        <v>0</v>
      </c>
      <c r="V23" s="107" t="n">
        <v>0</v>
      </c>
    </row>
    <row r="24" ht="12.95" customHeight="1" s="37">
      <c r="A24" s="54" t="inlineStr">
        <is>
          <t xml:space="preserve">  TRASPORTO</t>
        </is>
      </c>
      <c r="S24" s="55" t="n"/>
      <c r="T24" s="55" t="n"/>
      <c r="V24" s="55" t="n"/>
    </row>
    <row r="25" ht="36" customHeight="1" s="37">
      <c r="A25" s="56" t="inlineStr">
        <is>
          <t>Trasporto materiali FV (pannelli + inverter + struttura)</t>
        </is>
      </c>
      <c r="B25" s="57" t="n"/>
      <c r="C25" s="58" t="n"/>
      <c r="D25" s="59" t="n">
        <v>1</v>
      </c>
      <c r="E25" s="60" t="n">
        <v>297</v>
      </c>
      <c r="F25" s="60">
        <f>D25*E25</f>
        <v/>
      </c>
      <c r="G25" s="61" t="n">
        <v>0</v>
      </c>
      <c r="H25" s="60">
        <f>F25*(1-G25)</f>
        <v/>
      </c>
      <c r="I25" s="62" t="n">
        <v>0</v>
      </c>
      <c r="J25" s="60" t="n">
        <v>0</v>
      </c>
      <c r="K25" s="62" t="n">
        <v>0</v>
      </c>
      <c r="L25" s="60" t="n">
        <v>0</v>
      </c>
      <c r="M25" s="62" t="n">
        <v>0.12</v>
      </c>
      <c r="N25" s="60">
        <f>H25*M25</f>
        <v/>
      </c>
      <c r="O25" s="60">
        <f>H25+N25</f>
        <v/>
      </c>
      <c r="P25" s="63" t="n">
        <v>0</v>
      </c>
      <c r="Q25" s="64">
        <f>O25*P25</f>
        <v/>
      </c>
      <c r="R25" s="65">
        <f>O25+Q25</f>
        <v/>
      </c>
      <c r="S25" s="66" t="inlineStr">
        <is>
          <t>〰️ stima proporzionale</t>
        </is>
      </c>
      <c r="T25" s="106" t="n">
        <v>0</v>
      </c>
      <c r="U25" s="106" t="n">
        <v>0</v>
      </c>
      <c r="V25" s="106" t="n">
        <v>0</v>
      </c>
    </row>
    <row r="26" ht="15" customHeight="1" s="37">
      <c r="A26" s="79" t="inlineStr">
        <is>
          <t xml:space="preserve">  SUBTOTALE LAVORI — IVA esclusa</t>
        </is>
      </c>
      <c r="R26" s="80">
        <f>SUM(R6:R25)</f>
        <v/>
      </c>
      <c r="T26" s="108">
        <f>SUM(T6:T25)</f>
        <v/>
      </c>
      <c r="U26" s="108">
        <f>SUM(U6:U25)</f>
        <v/>
      </c>
      <c r="V26" s="108">
        <f>SUM(V6:V25)</f>
        <v/>
      </c>
    </row>
    <row r="27" ht="27.95" customHeight="1" s="37">
      <c r="A27" s="82" t="inlineStr">
        <is>
          <t xml:space="preserve">  ⚠️  ONERI PROFESSIONALI NON INCLUSI nel subtotale — da fatturare separatamente:  Progettazione esecutiva impianto termico (DM 37/2008, PN &gt; 35 kW → tecnico abilitato obbligatorio)  |  Direzione lavori  |  Pratiche CURIT / aggiornamento libretto impianto  |  Collaudo e verifica prestazionale.  Stima indicativa oneri professionali: 8÷10% del subtotale lavori.</t>
        </is>
      </c>
    </row>
    <row r="28" ht="21.95" customHeight="1" s="37">
      <c r="A28" s="83" t="inlineStr">
        <is>
          <t xml:space="preserve">  NOTA: UPGRADE CONTRATTO POTENZA — NON nel computo — La potenza contrattuale attuale è 23 kW; picco misurato gen.2026: 39,7 kW (supero già in atto). Con PDC+VRF: picco stimato 50-55 kW. Richiedere upgrade POD a Enel/E-Distribuzione: costo una tantum ~300-800 €; impatto annuo quota potenza: stima +1.000÷1.500 €/anno — da inserire nel computo economico ma NON nel preventivo lavori.</t>
        </is>
      </c>
    </row>
    <row r="29" ht="18" customHeight="1" s="37">
      <c r="A29" s="83" t="inlineStr">
        <is>
          <t>LEGENDA AFFIDABILITÀ:  ✅ Verde = dato da fonte certa (offerta formale, misura)   〰️ Bianco/grigio = stima da listini o letteratura — da confermare con preventivo formale   ⚠️ Arancio = dato critico — verificare prima di procedere   Colonne gialle (I, K, M, P) = coefficienti individuali per riga</t>
        </is>
      </c>
    </row>
  </sheetData>
  <mergeCells count="16">
    <mergeCell ref="M2:R2"/>
    <mergeCell ref="A4:H4"/>
    <mergeCell ref="A2:L2"/>
    <mergeCell ref="A21:R21"/>
    <mergeCell ref="A28:V28"/>
    <mergeCell ref="A26:O26"/>
    <mergeCell ref="A7:R7"/>
    <mergeCell ref="A24:R24"/>
    <mergeCell ref="A19:R19"/>
    <mergeCell ref="A11:R11"/>
    <mergeCell ref="S2:V2"/>
    <mergeCell ref="A13:R13"/>
    <mergeCell ref="A5:R5"/>
    <mergeCell ref="A1:R1"/>
    <mergeCell ref="A27:V27"/>
    <mergeCell ref="A29:V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4"/>
  <sheetViews>
    <sheetView workbookViewId="0">
      <pane ySplit="4" topLeftCell="A23" activePane="bottomLeft" state="frozen"/>
      <selection pane="bottomLeft" activeCell="S10" sqref="S10"/>
    </sheetView>
  </sheetViews>
  <sheetFormatPr baseColWidth="8" defaultRowHeight="15"/>
  <cols>
    <col width="34" customWidth="1" style="47" min="1" max="1"/>
    <col width="16" customWidth="1" style="47" min="2" max="2"/>
    <col width="50" customWidth="1" style="47" min="3" max="3"/>
    <col width="5" customWidth="1" style="47" min="4" max="4"/>
    <col width="12" customWidth="1" style="47" min="5" max="6"/>
    <col width="5" customWidth="1" style="47" min="7" max="7"/>
    <col width="12" customWidth="1" style="47" min="8" max="8"/>
    <col width="5" customWidth="1" style="47" min="9" max="9"/>
    <col width="10" customWidth="1" style="47" min="10" max="10"/>
    <col width="5" customWidth="1" style="47" min="11" max="11"/>
    <col width="10" customWidth="1" style="47" min="12" max="12"/>
    <col width="5" customWidth="1" style="47" min="13" max="13"/>
    <col width="10" customWidth="1" style="47" min="14" max="14"/>
    <col width="12" customWidth="1" style="47" min="15" max="15"/>
    <col width="5" customWidth="1" style="47" min="16" max="16"/>
    <col width="10" customWidth="1" style="47" min="17" max="17"/>
    <col width="14" customWidth="1" style="47" min="18" max="18"/>
    <col width="34" customWidth="1" style="47" min="19" max="19"/>
    <col width="7" customWidth="1" style="47" min="20" max="22"/>
    <col width="9.140625" customWidth="1" style="47" min="23" max="16384"/>
  </cols>
  <sheetData>
    <row r="1" ht="21.95" customHeight="1" s="37">
      <c r="A1" s="44" t="inlineStr">
        <is>
          <t xml:space="preserve">  STIMA PRELIMINARE — ECO SHOPPER / 2WIN SRL  |  Via dei Falegnami 1/D, Castello d'Argile (BO)  |  Documento Progettista ↔ Installatore</t>
        </is>
      </c>
      <c r="S1" s="46" t="inlineStr">
        <is>
          <t>Aprile 2026</t>
        </is>
      </c>
    </row>
    <row r="2" ht="18" customHeight="1" s="37">
      <c r="A2" s="48" t="inlineStr">
        <is>
          <t xml:space="preserve">  SCENARIO B — Solo PDC Idronica (FV non incluso)</t>
        </is>
      </c>
      <c r="M2" s="49" t="inlineStr">
        <is>
          <t>Prezzi al cliente finale — IVA esclusa | Oneri professionali NON inclusi</t>
        </is>
      </c>
      <c r="S2" s="50" t="inlineStr">
        <is>
          <t>2× RHOSS THAITI 122 R32 | SCOP 4,53 BT | A+++ | Demoliz. totale C.T. | Acciaio nero saldato</t>
        </is>
      </c>
    </row>
    <row r="3" ht="33.95" customHeight="1" s="37">
      <c r="A3" s="51" t="inlineStr">
        <is>
          <t>Articolo / Descrizione</t>
        </is>
      </c>
      <c r="B3" s="51" t="inlineStr">
        <is>
          <t>Marca / Rif.</t>
        </is>
      </c>
      <c r="C3" s="51" t="inlineStr">
        <is>
          <t>Specifiche tecniche e note</t>
        </is>
      </c>
      <c r="D3" s="51" t="inlineStr">
        <is>
          <t>q.ta</t>
        </is>
      </c>
      <c r="E3" s="51" t="inlineStr">
        <is>
          <t>P.U. netto
install. €</t>
        </is>
      </c>
      <c r="F3" s="51" t="inlineStr">
        <is>
          <t>Importo
fornitura €</t>
        </is>
      </c>
      <c r="G3" s="51" t="inlineStr">
        <is>
          <t>sc.%</t>
        </is>
      </c>
      <c r="H3" s="51" t="inlineStr">
        <is>
          <t>Costo
materiale €</t>
        </is>
      </c>
      <c r="I3" s="51" t="inlineStr">
        <is>
          <t>op.
acc%</t>
        </is>
      </c>
      <c r="J3" s="51" t="inlineStr">
        <is>
          <t>op.acc
€</t>
        </is>
      </c>
      <c r="K3" s="51" t="inlineStr">
        <is>
          <t>inst.
%</t>
        </is>
      </c>
      <c r="L3" s="51" t="inlineStr">
        <is>
          <t>install
€</t>
        </is>
      </c>
      <c r="M3" s="51" t="inlineStr">
        <is>
          <t>ric.
%</t>
        </is>
      </c>
      <c r="N3" s="51" t="inlineStr">
        <is>
          <t>ricarico
€</t>
        </is>
      </c>
      <c r="O3" s="51" t="inlineStr">
        <is>
          <t>TOT
riga €</t>
        </is>
      </c>
      <c r="P3" s="51" t="inlineStr">
        <is>
          <t>impr
%</t>
        </is>
      </c>
      <c r="Q3" s="51" t="inlineStr">
        <is>
          <t>impr.
€</t>
        </is>
      </c>
      <c r="R3" s="51" t="inlineStr">
        <is>
          <t>PREZZO
CLIENTE €</t>
        </is>
      </c>
      <c r="S3" s="51" t="inlineStr">
        <is>
          <t>Nota / Fonte / Affidabilità</t>
        </is>
      </c>
      <c r="T3" s="51" t="inlineStr">
        <is>
          <t>h</t>
        </is>
      </c>
      <c r="U3" s="51" t="inlineStr">
        <is>
          <t>2p</t>
        </is>
      </c>
      <c r="V3" s="51" t="inlineStr">
        <is>
          <t>gg</t>
        </is>
      </c>
    </row>
    <row r="4" ht="11.1" customHeight="1" s="37">
      <c r="A4" s="52" t="inlineStr">
        <is>
          <t xml:space="preserve">  Coefficienti individuali per riga (non uniformi) — vedi colonne I, K, M, P</t>
        </is>
      </c>
      <c r="I4" s="53" t="inlineStr">
        <is>
          <t>↓ riga</t>
        </is>
      </c>
      <c r="K4" s="53" t="inlineStr">
        <is>
          <t>↓ riga</t>
        </is>
      </c>
      <c r="M4" s="53" t="inlineStr">
        <is>
          <t>↓ riga</t>
        </is>
      </c>
      <c r="P4" s="53" t="inlineStr">
        <is>
          <t>↓ riga</t>
        </is>
      </c>
    </row>
    <row r="5" ht="12.95" customHeight="1" s="37">
      <c r="A5" s="86" t="inlineStr">
        <is>
          <t xml:space="preserve">  DEMOLIZIONE E SMALTIMENTO — CENTRALE TERMICA</t>
        </is>
      </c>
      <c r="S5" s="87" t="n"/>
      <c r="T5" s="87" t="n"/>
      <c r="V5" s="87" t="n"/>
    </row>
    <row r="6" ht="36" customHeight="1" s="37">
      <c r="A6" s="56" t="inlineStr">
        <is>
          <t>Smontaggio e rottamazione n.2 caldaie Baltur PERFECTA 35 RK</t>
        </is>
      </c>
      <c r="B6" s="57" t="n"/>
      <c r="C6" s="58" t="inlineStr">
        <is>
          <t>Smontaggio meccanico, disconnessione idraulica e gas; rottamazione (nessun F-gas nelle caldaie). Ripristino raccordi, tappatura linea gas a monte del rubinetto in C.T.</t>
        </is>
      </c>
      <c r="D6" s="59" t="n">
        <v>1</v>
      </c>
      <c r="E6" s="60" t="n">
        <v>600</v>
      </c>
      <c r="F6" s="60">
        <f>D6*E6</f>
        <v/>
      </c>
      <c r="G6" s="61" t="n">
        <v>0</v>
      </c>
      <c r="H6" s="60">
        <f>F6*(1-G6)</f>
        <v/>
      </c>
      <c r="I6" s="62" t="n">
        <v>0.05</v>
      </c>
      <c r="J6" s="60">
        <f>H6*I6</f>
        <v/>
      </c>
      <c r="K6" s="62" t="n">
        <v>0.55</v>
      </c>
      <c r="L6" s="60">
        <f>(H6+J6)*K6</f>
        <v/>
      </c>
      <c r="M6" s="62" t="n">
        <v>0.25</v>
      </c>
      <c r="N6" s="60">
        <f>(H6+J6+L6)*M6</f>
        <v/>
      </c>
      <c r="O6" s="60">
        <f>H6+J6+L6+N6</f>
        <v/>
      </c>
      <c r="P6" s="63" t="n">
        <v>0.1</v>
      </c>
      <c r="Q6" s="64">
        <f>O6*P6</f>
        <v/>
      </c>
      <c r="R6" s="65">
        <f>O6+Q6</f>
        <v/>
      </c>
      <c r="S6" s="66" t="inlineStr">
        <is>
          <t>〰️ stima a corpo — nessun costo F-Gas (caldaie a combustione)</t>
        </is>
      </c>
      <c r="T6" s="106">
        <f>L6/52</f>
        <v/>
      </c>
      <c r="U6" s="106">
        <f>T6/2</f>
        <v/>
      </c>
      <c r="V6" s="106">
        <f>U6/8</f>
        <v/>
      </c>
    </row>
    <row r="7" ht="36" customHeight="1" s="37">
      <c r="A7" s="77" t="inlineStr">
        <is>
          <t>Smontaggio e rottamazione n.2 circolatori gemellari Wilo TOP-SD esistenti</t>
        </is>
      </c>
      <c r="B7" s="69" t="inlineStr">
        <is>
          <t>Wilo TOP-SD 32/7 + TOP-SD 50/10</t>
        </is>
      </c>
      <c r="C7" s="70" t="inlineStr">
        <is>
          <t>Smontaggio n.2 unità gemellari (1 girante attiva + 1 stand-by per unità), come da rilievo fotografico. Motori trifase a gradini (non EC): incompatibili con il controllo inverter della PDC e ad alta inefficienza. Rottamazione RAEE.</t>
        </is>
      </c>
      <c r="D7" s="71" t="n">
        <v>1</v>
      </c>
      <c r="E7" s="72" t="n">
        <v>250</v>
      </c>
      <c r="F7" s="72">
        <f>D7*E7</f>
        <v/>
      </c>
      <c r="G7" s="73" t="n">
        <v>0</v>
      </c>
      <c r="H7" s="72">
        <f>F7*(1-G7)</f>
        <v/>
      </c>
      <c r="I7" s="62" t="n">
        <v>0.05</v>
      </c>
      <c r="J7" s="72">
        <f>H7*I7</f>
        <v/>
      </c>
      <c r="K7" s="62" t="n">
        <v>0.55</v>
      </c>
      <c r="L7" s="72">
        <f>(H7+J7)*K7</f>
        <v/>
      </c>
      <c r="M7" s="62" t="n">
        <v>0.25</v>
      </c>
      <c r="N7" s="72">
        <f>(H7+J7+L7)*M7</f>
        <v/>
      </c>
      <c r="O7" s="72">
        <f>H7+J7+L7+N7</f>
        <v/>
      </c>
      <c r="P7" s="63" t="n">
        <v>0.1</v>
      </c>
      <c r="Q7" s="74">
        <f>O7*P7</f>
        <v/>
      </c>
      <c r="R7" s="65">
        <f>O7+Q7</f>
        <v/>
      </c>
      <c r="S7" s="75" t="inlineStr">
        <is>
          <t>✅ identificati da foto: TOP-SD 32/7 + TOP-SD 50/10 gemellari</t>
        </is>
      </c>
      <c r="T7" s="107">
        <f>L7/52</f>
        <v/>
      </c>
      <c r="U7" s="107">
        <f>T7/2</f>
        <v/>
      </c>
      <c r="V7" s="107">
        <f>U7/8</f>
        <v/>
      </c>
    </row>
    <row r="8" ht="36" customHeight="1" s="37">
      <c r="A8" s="56" t="inlineStr">
        <is>
          <t>Smontaggio totale tubazioni, valvole, coibentazione esistente in C.T.</t>
        </is>
      </c>
      <c r="B8" s="57" t="n"/>
      <c r="C8" s="58" t="inlineStr">
        <is>
          <t>Tubo ferro verniciato rosso esistente (diametri vari DN32÷DN50÷DN65 stimati), valvole a sfera e di ritegno, staffaggi, vaso espansione, coibentazione. Smaltimento come ferraglia + RAEE dove applicabile. ASSUNZIONE: impianto secondario nei locali (manifold radiante + tubazioni) ESCLUSO — nuovo e tenuto.</t>
        </is>
      </c>
      <c r="D8" s="59" t="n">
        <v>1</v>
      </c>
      <c r="E8" s="60" t="n">
        <v>800</v>
      </c>
      <c r="F8" s="60">
        <f>D8*E8</f>
        <v/>
      </c>
      <c r="G8" s="61" t="n">
        <v>0</v>
      </c>
      <c r="H8" s="60">
        <f>F8*(1-G8)</f>
        <v/>
      </c>
      <c r="I8" s="62" t="n">
        <v>0.05</v>
      </c>
      <c r="J8" s="60">
        <f>H8*I8</f>
        <v/>
      </c>
      <c r="K8" s="62" t="n">
        <v>0.55</v>
      </c>
      <c r="L8" s="60">
        <f>(H8+J8)*K8</f>
        <v/>
      </c>
      <c r="M8" s="62" t="n">
        <v>0.25</v>
      </c>
      <c r="N8" s="60">
        <f>(H8+J8+L8)*M8</f>
        <v/>
      </c>
      <c r="O8" s="60">
        <f>H8+J8+L8+N8</f>
        <v/>
      </c>
      <c r="P8" s="63" t="n">
        <v>0.1</v>
      </c>
      <c r="Q8" s="64">
        <f>O8*P8</f>
        <v/>
      </c>
      <c r="R8" s="65">
        <f>O8+Q8</f>
        <v/>
      </c>
      <c r="S8" s="66" t="inlineStr">
        <is>
          <t>〰️ stima a corpo demolizione C.T. completa</t>
        </is>
      </c>
      <c r="T8" s="106">
        <f>L8/52</f>
        <v/>
      </c>
      <c r="U8" s="106">
        <f>T8/2</f>
        <v/>
      </c>
      <c r="V8" s="106">
        <f>U8/8</f>
        <v/>
      </c>
    </row>
    <row r="9" ht="12.95" customHeight="1" s="37">
      <c r="A9" s="54" t="inlineStr">
        <is>
          <t xml:space="preserve">  FORNITURA PDC — offerta Rhoss OF2026-4-10_113722 del 10/04/2026</t>
        </is>
      </c>
      <c r="S9" s="55" t="n"/>
      <c r="T9" s="55" t="n"/>
      <c r="V9" s="55" t="n"/>
    </row>
    <row r="10" ht="36" customHeight="1" s="37">
      <c r="A10" s="78" t="inlineStr">
        <is>
          <t>THAITI 122 P0 — ElectaMAXI-ECO</t>
        </is>
      </c>
      <c r="B10" s="57" t="inlineStr">
        <is>
          <t>RHOSS</t>
        </is>
      </c>
      <c r="C10" s="58" t="inlineStr">
        <is>
          <t>PDC reversibile monoblocco R32 DC inverter, modulo idraulico integrato con circolatore EC primario, Pdesignh 29 kW EN14825 / SCOP 4,53 BT 35°C / A+++ — Coppia M/S: Pdesignh_tot 44 kW — copertura carico eff. 28 kW@−5°C con margine. Include KSA antivibranti.</t>
        </is>
      </c>
      <c r="D10" s="59" t="n">
        <v>2</v>
      </c>
      <c r="E10" s="60" t="n">
        <v>8500</v>
      </c>
      <c r="F10" s="60">
        <f>D10*E10</f>
        <v/>
      </c>
      <c r="G10" s="61" t="n">
        <v>0</v>
      </c>
      <c r="H10" s="60">
        <f>F10*(1-G10)</f>
        <v/>
      </c>
      <c r="I10" s="62" t="n">
        <v>0.02</v>
      </c>
      <c r="J10" s="60">
        <f>H10*I10</f>
        <v/>
      </c>
      <c r="K10" s="62" t="n">
        <v>0.04</v>
      </c>
      <c r="L10" s="60">
        <f>(H10+J10)*K10</f>
        <v/>
      </c>
      <c r="M10" s="62" t="n">
        <v>0.28</v>
      </c>
      <c r="N10" s="60">
        <f>(H10+J10+L10)*M10</f>
        <v/>
      </c>
      <c r="O10" s="60">
        <f>H10+J10+L10+N10</f>
        <v/>
      </c>
      <c r="P10" s="63" t="n">
        <v>0.1</v>
      </c>
      <c r="Q10" s="64">
        <f>O10*P10</f>
        <v/>
      </c>
      <c r="R10" s="65">
        <f>O10+Q10</f>
        <v/>
      </c>
      <c r="S10" s="66" t="inlineStr">
        <is>
          <t>⚠️ prezzo interpolato (THAITI 118=7.590 €, THAITI 130=9.456 €) — richiedere conferma</t>
        </is>
      </c>
      <c r="T10" s="106">
        <f>L10/52</f>
        <v/>
      </c>
      <c r="U10" s="106">
        <f>T10/2</f>
        <v/>
      </c>
      <c r="V10" s="106">
        <f>U10/8</f>
        <v/>
      </c>
    </row>
    <row r="11" ht="36" customHeight="1" s="37">
      <c r="A11" s="77" t="inlineStr">
        <is>
          <t>PRIMO AVVIAMENTO — obbligatorio garanzia 24 mesi</t>
        </is>
      </c>
      <c r="B11" s="69" t="inlineStr">
        <is>
          <t>Tecnico autorizzato RHOSS</t>
        </is>
      </c>
      <c r="C11" s="70" t="inlineStr">
        <is>
          <t>Verifica parametri, taratura, registrazione garanzia. Garanzia decorre da data avviamento (max 30 mesi da consegna).</t>
        </is>
      </c>
      <c r="D11" s="71" t="n">
        <v>2</v>
      </c>
      <c r="E11" s="72" t="n">
        <v>231.6</v>
      </c>
      <c r="F11" s="72">
        <f>D11*E11</f>
        <v/>
      </c>
      <c r="G11" s="73" t="n">
        <v>0</v>
      </c>
      <c r="H11" s="72">
        <f>F11*(1-G11)</f>
        <v/>
      </c>
      <c r="I11" s="62" t="n">
        <v>0</v>
      </c>
      <c r="J11" s="72" t="n">
        <v>0</v>
      </c>
      <c r="K11" s="62" t="n">
        <v>0</v>
      </c>
      <c r="L11" s="72" t="n">
        <v>0</v>
      </c>
      <c r="M11" s="62" t="n">
        <v>0.15</v>
      </c>
      <c r="N11" s="72">
        <f>H11*M11</f>
        <v/>
      </c>
      <c r="O11" s="72">
        <f>H11+N11</f>
        <v/>
      </c>
      <c r="P11" s="63" t="n">
        <v>0</v>
      </c>
      <c r="Q11" s="74">
        <f>O11*P11</f>
        <v/>
      </c>
      <c r="R11" s="65">
        <f>O11+Q11</f>
        <v/>
      </c>
      <c r="S11" s="75" t="inlineStr">
        <is>
          <t>✅ da offerta formale Rhoss</t>
        </is>
      </c>
      <c r="T11" s="107" t="n">
        <v>0</v>
      </c>
      <c r="U11" s="107" t="n">
        <v>0</v>
      </c>
      <c r="V11" s="107" t="n">
        <v>0</v>
      </c>
    </row>
    <row r="12" ht="12.95" customHeight="1" s="37">
      <c r="A12" s="54" t="inlineStr">
        <is>
          <t xml:space="preserve">  DISGIUNTORE IDRAULICO E ACCESSORI RHOSS</t>
        </is>
      </c>
      <c r="S12" s="55" t="n"/>
      <c r="T12" s="55" t="n"/>
      <c r="V12" s="55" t="n"/>
    </row>
    <row r="13" ht="36" customHeight="1" s="37">
      <c r="A13" s="56" t="inlineStr">
        <is>
          <t>KAI-110 — Serbatoio inerziale / disgiuntore idraulico</t>
        </is>
      </c>
      <c r="B13" s="57" t="inlineStr">
        <is>
          <t>RHOSS</t>
        </is>
      </c>
      <c r="C13" s="58" t="inlineStr">
        <is>
          <t>110 litri — disgiuntore idraulico primario (PDC) / secondario (distribuzione). Necessario con 2 PDC inverter M/S + più zone radianti: evita on/off frequenti del compressore inverter. Classe energetica A.</t>
        </is>
      </c>
      <c r="D13" s="59" t="n">
        <v>1</v>
      </c>
      <c r="E13" s="60" t="n">
        <v>720</v>
      </c>
      <c r="F13" s="60">
        <f>D13*E13</f>
        <v/>
      </c>
      <c r="G13" s="61" t="n">
        <v>0</v>
      </c>
      <c r="H13" s="60">
        <f>F13*(1-G13)</f>
        <v/>
      </c>
      <c r="I13" s="62" t="n">
        <v>0.05</v>
      </c>
      <c r="J13" s="60">
        <f>H13*I13</f>
        <v/>
      </c>
      <c r="K13" s="62" t="n">
        <v>0.15</v>
      </c>
      <c r="L13" s="60">
        <f>(H13+J13)*K13</f>
        <v/>
      </c>
      <c r="M13" s="62" t="n">
        <v>0.28</v>
      </c>
      <c r="N13" s="60">
        <f>(H13+J13+L13)*M13</f>
        <v/>
      </c>
      <c r="O13" s="60">
        <f>H13+J13+L13+N13</f>
        <v/>
      </c>
      <c r="P13" s="63" t="n">
        <v>0.1</v>
      </c>
      <c r="Q13" s="64">
        <f>O13*P13</f>
        <v/>
      </c>
      <c r="R13" s="65">
        <f>O13+Q13</f>
        <v/>
      </c>
      <c r="S13" s="66" t="inlineStr">
        <is>
          <t>〰️ stima da listino Rhoss — SCELTA PROGETTUALE: necessario in questa configurazione</t>
        </is>
      </c>
      <c r="T13" s="106">
        <f>L13/52</f>
        <v/>
      </c>
      <c r="U13" s="106">
        <f>T13/2</f>
        <v/>
      </c>
      <c r="V13" s="106">
        <f>U13/8</f>
        <v/>
      </c>
    </row>
    <row r="14" ht="36" customHeight="1" s="37">
      <c r="A14" s="68" t="inlineStr">
        <is>
          <t>KRIT — Resistenza elettrica integrativa</t>
        </is>
      </c>
      <c r="B14" s="69" t="inlineStr">
        <is>
          <t>RHOSS</t>
        </is>
      </c>
      <c r="C14" s="70" t="inlineStr">
        <is>
          <t>Integrazione per punte di carico sotto −5°C (stima ≤ 4% energia annua, ~80 ore/anno). Potenza da definire in esecutivo (indicativa 6÷9 kW).</t>
        </is>
      </c>
      <c r="D14" s="71" t="n">
        <v>1</v>
      </c>
      <c r="E14" s="72" t="n">
        <v>600</v>
      </c>
      <c r="F14" s="72">
        <f>D14*E14</f>
        <v/>
      </c>
      <c r="G14" s="73" t="n">
        <v>0</v>
      </c>
      <c r="H14" s="72">
        <f>F14*(1-G14)</f>
        <v/>
      </c>
      <c r="I14" s="62" t="n">
        <v>0.05</v>
      </c>
      <c r="J14" s="72">
        <f>H14*I14</f>
        <v/>
      </c>
      <c r="K14" s="62" t="n">
        <v>0.15</v>
      </c>
      <c r="L14" s="72">
        <f>(H14+J14)*K14</f>
        <v/>
      </c>
      <c r="M14" s="62" t="n">
        <v>0.28</v>
      </c>
      <c r="N14" s="72">
        <f>(H14+J14+L14)*M14</f>
        <v/>
      </c>
      <c r="O14" s="72">
        <f>H14+J14+L14+N14</f>
        <v/>
      </c>
      <c r="P14" s="63" t="n">
        <v>0.1</v>
      </c>
      <c r="Q14" s="74">
        <f>O14*P14</f>
        <v/>
      </c>
      <c r="R14" s="65">
        <f>O14+Q14</f>
        <v/>
      </c>
      <c r="S14" s="75" t="inlineStr">
        <is>
          <t>〰️ stima</t>
        </is>
      </c>
      <c r="T14" s="107">
        <f>L14/52</f>
        <v/>
      </c>
      <c r="U14" s="107">
        <f>T14/2</f>
        <v/>
      </c>
      <c r="V14" s="107">
        <f>U14/8</f>
        <v/>
      </c>
    </row>
    <row r="15" ht="12.95" customHeight="1" s="37">
      <c r="A15" s="54" t="inlineStr">
        <is>
          <t xml:space="preserve">  IMPIANTO IDRAULICO — RIFACIMENTO TOTALE CENTRALE TERMICA</t>
        </is>
      </c>
      <c r="S15" s="55" t="n"/>
      <c r="T15" s="55" t="n"/>
      <c r="V15" s="55" t="n"/>
    </row>
    <row r="16" ht="36" customHeight="1" s="37">
      <c r="A16" s="56" t="inlineStr">
        <is>
          <t>Tubazioni acciaio nero saldato EN 10255 — rifacimento totale C.T.</t>
        </is>
      </c>
      <c r="B16" s="57" t="inlineStr">
        <is>
          <t>Tubo nero EN 10255 ser. M</t>
        </is>
      </c>
      <c r="C16" s="58" t="inlineStr">
        <is>
          <t>Rifacimento completo rete idraulica in C.T.: tubo acciaio nero saldato EN 10255 serie M, diametri DN32÷DN50÷DN65 come da progetto esecutivo. Include: taglio, filettatura o saldatura, raccorderia, staffaggi a muro, collaudo idraulico a 6 bar. Stima: ~30 m lineari totali in C.T.</t>
        </is>
      </c>
      <c r="D16" s="59" t="n">
        <v>1</v>
      </c>
      <c r="E16" s="60" t="n">
        <v>2800</v>
      </c>
      <c r="F16" s="60">
        <f>D16*E16</f>
        <v/>
      </c>
      <c r="G16" s="61" t="n">
        <v>0</v>
      </c>
      <c r="H16" s="60">
        <f>F16*(1-G16)</f>
        <v/>
      </c>
      <c r="I16" s="62" t="n">
        <v>0.08</v>
      </c>
      <c r="J16" s="60">
        <f>H16*I16</f>
        <v/>
      </c>
      <c r="K16" s="62" t="n">
        <v>0.42</v>
      </c>
      <c r="L16" s="60">
        <f>(H16+J16)*K16</f>
        <v/>
      </c>
      <c r="M16" s="62" t="n">
        <v>0.28</v>
      </c>
      <c r="N16" s="60">
        <f>(H16+J16+L16)*M16</f>
        <v/>
      </c>
      <c r="O16" s="60">
        <f>H16+J16+L16+N16</f>
        <v/>
      </c>
      <c r="P16" s="63" t="n">
        <v>0.1</v>
      </c>
      <c r="Q16" s="64">
        <f>O16*P16</f>
        <v/>
      </c>
      <c r="R16" s="65">
        <f>O16+Q16</f>
        <v/>
      </c>
      <c r="S16" s="66" t="inlineStr">
        <is>
          <t>〰️ stima lump-sum — acciaio nero (coerente con esistente, vedi foto). Prezzo da confermare con rilievo metrico C.T.</t>
        </is>
      </c>
      <c r="T16" s="106">
        <f>L16/52</f>
        <v/>
      </c>
      <c r="U16" s="106">
        <f>T16/2</f>
        <v/>
      </c>
      <c r="V16" s="106">
        <f>U16/8</f>
        <v/>
      </c>
    </row>
    <row r="17" ht="36" customHeight="1" s="37">
      <c r="A17" s="68" t="inlineStr">
        <is>
          <t>Coibentazione tubazioni C.T. — nuova, totale</t>
        </is>
      </c>
      <c r="B17" s="69" t="inlineStr">
        <is>
          <t>Armaflex / K-Flex</t>
        </is>
      </c>
      <c r="C17" s="70" t="inlineStr">
        <is>
          <t>Guaina elastomerica a cellule chiuse, spessore ≥ 25mm per DN50+, ≥ 19mm per DN≤40, finitura con nastro adesivo. Copre tutte le tubazioni nuove in C.T. incluse raccorderie e valvole.</t>
        </is>
      </c>
      <c r="D17" s="71" t="n">
        <v>1</v>
      </c>
      <c r="E17" s="72" t="n">
        <v>900</v>
      </c>
      <c r="F17" s="72">
        <f>D17*E17</f>
        <v/>
      </c>
      <c r="G17" s="73" t="n">
        <v>0</v>
      </c>
      <c r="H17" s="72">
        <f>F17*(1-G17)</f>
        <v/>
      </c>
      <c r="I17" s="62" t="n">
        <v>0.06</v>
      </c>
      <c r="J17" s="72">
        <f>H17*I17</f>
        <v/>
      </c>
      <c r="K17" s="62" t="n">
        <v>0.38</v>
      </c>
      <c r="L17" s="72">
        <f>(H17+J17)*K17</f>
        <v/>
      </c>
      <c r="M17" s="62" t="n">
        <v>0.25</v>
      </c>
      <c r="N17" s="72">
        <f>(H17+J17+L17)*M17</f>
        <v/>
      </c>
      <c r="O17" s="72">
        <f>H17+J17+L17+N17</f>
        <v/>
      </c>
      <c r="P17" s="63" t="n">
        <v>0.1</v>
      </c>
      <c r="Q17" s="74">
        <f>O17*P17</f>
        <v/>
      </c>
      <c r="R17" s="65">
        <f>O17+Q17</f>
        <v/>
      </c>
      <c r="S17" s="75" t="inlineStr">
        <is>
          <t>〰️ stima — dimensionamento da rilievo</t>
        </is>
      </c>
      <c r="T17" s="107">
        <f>L17/52</f>
        <v/>
      </c>
      <c r="U17" s="107">
        <f>T17/2</f>
        <v/>
      </c>
      <c r="V17" s="107">
        <f>U17/8</f>
        <v/>
      </c>
    </row>
    <row r="18" ht="36" customHeight="1" s="37">
      <c r="A18" s="56" t="inlineStr">
        <is>
          <t>Circolatore EC principale — distribuzione secondaria DN50</t>
        </is>
      </c>
      <c r="B18" s="57" t="inlineStr">
        <is>
          <t>Wilo Stratos MAXO / Grundfos MAGNA3</t>
        </is>
      </c>
      <c r="C18" s="58" t="inlineStr">
        <is>
          <t>Circuito secondario PDC → KAI → distribuzione radiante: 1× circolatore EC a velocità variabile DN50, P.U. max 340 W, controllo integrato ΔP costante/variabile, Classe energetica A (risparmio ~85% vs TOP-SD 50/10 esistente a 880W). Sostituzione 1 gemellare TOP-SD 50/10 esistente.</t>
        </is>
      </c>
      <c r="D18" s="59" t="n">
        <v>1</v>
      </c>
      <c r="E18" s="60" t="n">
        <v>750</v>
      </c>
      <c r="F18" s="60">
        <f>D18*E18</f>
        <v/>
      </c>
      <c r="G18" s="61" t="n">
        <v>0</v>
      </c>
      <c r="H18" s="60">
        <f>F18*(1-G18)</f>
        <v/>
      </c>
      <c r="I18" s="62" t="n">
        <v>0.05</v>
      </c>
      <c r="J18" s="60">
        <f>H18*I18</f>
        <v/>
      </c>
      <c r="K18" s="62" t="n">
        <v>0.18</v>
      </c>
      <c r="L18" s="60">
        <f>(H18+J18)*K18</f>
        <v/>
      </c>
      <c r="M18" s="62" t="n">
        <v>0.28</v>
      </c>
      <c r="N18" s="60">
        <f>(H18+J18+L18)*M18</f>
        <v/>
      </c>
      <c r="O18" s="60">
        <f>H18+J18+L18+N18</f>
        <v/>
      </c>
      <c r="P18" s="63" t="n">
        <v>0.1</v>
      </c>
      <c r="Q18" s="64">
        <f>O18*P18</f>
        <v/>
      </c>
      <c r="R18" s="65">
        <f>O18+Q18</f>
        <v/>
      </c>
      <c r="S18" s="66" t="inlineStr">
        <is>
          <t>〰️ stima — Wilo Stratos MAXO 50/0,5-9: ~650-900 € netto installatore</t>
        </is>
      </c>
      <c r="T18" s="106">
        <f>L18/52</f>
        <v/>
      </c>
      <c r="U18" s="106">
        <f>T18/2</f>
        <v/>
      </c>
      <c r="V18" s="106">
        <f>U18/8</f>
        <v/>
      </c>
    </row>
    <row r="19" ht="36" customHeight="1" s="37">
      <c r="A19" s="68" t="inlineStr">
        <is>
          <t>Circolatore EC zona distribuzione DN32</t>
        </is>
      </c>
      <c r="B19" s="69" t="inlineStr">
        <is>
          <t>Wilo Stratos PICO / Grundfos MAGNA3</t>
        </is>
      </c>
      <c r="C19" s="70" t="inlineStr">
        <is>
          <t>1× circolatore EC a velocità variabile DN32 per circuito di zona (sostituzione gemellare TOP-SD 32/7 esistente). P.U. max 75 W vs 200 W esistente.</t>
        </is>
      </c>
      <c r="D19" s="71" t="n">
        <v>1</v>
      </c>
      <c r="E19" s="72" t="n">
        <v>380</v>
      </c>
      <c r="F19" s="72">
        <f>D19*E19</f>
        <v/>
      </c>
      <c r="G19" s="73" t="n">
        <v>0</v>
      </c>
      <c r="H19" s="72">
        <f>F19*(1-G19)</f>
        <v/>
      </c>
      <c r="I19" s="62" t="n">
        <v>0.05</v>
      </c>
      <c r="J19" s="72">
        <f>H19*I19</f>
        <v/>
      </c>
      <c r="K19" s="62" t="n">
        <v>0.18</v>
      </c>
      <c r="L19" s="72">
        <f>(H19+J19)*K19</f>
        <v/>
      </c>
      <c r="M19" s="62" t="n">
        <v>0.28</v>
      </c>
      <c r="N19" s="72">
        <f>(H19+J19+L19)*M19</f>
        <v/>
      </c>
      <c r="O19" s="72">
        <f>H19+J19+L19+N19</f>
        <v/>
      </c>
      <c r="P19" s="63" t="n">
        <v>0.1</v>
      </c>
      <c r="Q19" s="74">
        <f>O19*P19</f>
        <v/>
      </c>
      <c r="R19" s="65">
        <f>O19+Q19</f>
        <v/>
      </c>
      <c r="S19" s="75" t="inlineStr">
        <is>
          <t>〰️ stima — da confermare funzione dopo rilievo; il circuito radiante secondario (manifold nei locali) è nuovo e tenuto</t>
        </is>
      </c>
      <c r="T19" s="107">
        <f>L19/52</f>
        <v/>
      </c>
      <c r="U19" s="107">
        <f>T19/2</f>
        <v/>
      </c>
      <c r="V19" s="107">
        <f>U19/8</f>
        <v/>
      </c>
    </row>
    <row r="20" ht="36" customHeight="1" s="37">
      <c r="A20" s="56" t="inlineStr">
        <is>
          <t>Valvolame di intercettazione e ritegno — nuovi per PDC e circuiti</t>
        </is>
      </c>
      <c r="B20" s="57" t="n"/>
      <c r="C20" s="58" t="inlineStr">
        <is>
          <t>Per ogni PDC: rubinetto sferico DN40 andata/ritorno + ritegno + filtro Y bronzo; vaso espansione membrana 24L; VS tarata 3 bar; manometro; sfiati aria automatici; raccordi antivibranti (n.4 flessibili). Materiale stimato a corpo per C.T. rifatta.</t>
        </is>
      </c>
      <c r="D20" s="59" t="n">
        <v>1</v>
      </c>
      <c r="E20" s="60" t="n">
        <v>1200</v>
      </c>
      <c r="F20" s="60">
        <f>D20*E20</f>
        <v/>
      </c>
      <c r="G20" s="61" t="n">
        <v>0</v>
      </c>
      <c r="H20" s="60">
        <f>F20*(1-G20)</f>
        <v/>
      </c>
      <c r="I20" s="62" t="n">
        <v>0.06</v>
      </c>
      <c r="J20" s="60">
        <f>H20*I20</f>
        <v/>
      </c>
      <c r="K20" s="62" t="n">
        <v>0.25</v>
      </c>
      <c r="L20" s="60">
        <f>(H20+J20)*K20</f>
        <v/>
      </c>
      <c r="M20" s="62" t="n">
        <v>0.28</v>
      </c>
      <c r="N20" s="60">
        <f>(H20+J20+L20)*M20</f>
        <v/>
      </c>
      <c r="O20" s="60">
        <f>H20+J20+L20+N20</f>
        <v/>
      </c>
      <c r="P20" s="63" t="n">
        <v>0.1</v>
      </c>
      <c r="Q20" s="64">
        <f>O20*P20</f>
        <v/>
      </c>
      <c r="R20" s="65">
        <f>O20+Q20</f>
        <v/>
      </c>
      <c r="S20" s="66" t="inlineStr">
        <is>
          <t>〰️ stima a corpo — da quantificare con lay-out esecutivo</t>
        </is>
      </c>
      <c r="T20" s="106">
        <f>L20/52</f>
        <v/>
      </c>
      <c r="U20" s="106">
        <f>T20/2</f>
        <v/>
      </c>
      <c r="V20" s="106">
        <f>U20/8</f>
        <v/>
      </c>
    </row>
    <row r="21" ht="36" customHeight="1" s="37">
      <c r="A21" s="68" t="inlineStr">
        <is>
          <t>Bilanciamento idraulico circuiti radianti a pavimento</t>
        </is>
      </c>
      <c r="B21" s="69" t="n"/>
      <c r="C21" s="70" t="inlineStr">
        <is>
          <t>Installazione valvole bilanciatrici autoregolanti sugli anelli (stima n.10÷14 anelli da rilievo planimetrico) e taratura con flussimetro. Risolve il problema di comfort dichiarato (sbilanciamento zona uffici). NOTA: i manifold e le tubazioni nei locali sono nuovi e tenuti — solo la taratura è necessaria.</t>
        </is>
      </c>
      <c r="D21" s="71" t="n">
        <v>1</v>
      </c>
      <c r="E21" s="72" t="n">
        <v>1800</v>
      </c>
      <c r="F21" s="72">
        <f>D21*E21</f>
        <v/>
      </c>
      <c r="G21" s="73" t="n">
        <v>0</v>
      </c>
      <c r="H21" s="72">
        <f>F21*(1-G21)</f>
        <v/>
      </c>
      <c r="I21" s="62" t="n">
        <v>0.06</v>
      </c>
      <c r="J21" s="72">
        <f>H21*I21</f>
        <v/>
      </c>
      <c r="K21" s="62" t="n">
        <v>0.25</v>
      </c>
      <c r="L21" s="72">
        <f>(H21+J21)*K21</f>
        <v/>
      </c>
      <c r="M21" s="62" t="n">
        <v>0.28</v>
      </c>
      <c r="N21" s="72">
        <f>(H21+J21+L21)*M21</f>
        <v/>
      </c>
      <c r="O21" s="72">
        <f>H21+J21+L21+N21</f>
        <v/>
      </c>
      <c r="P21" s="63" t="n">
        <v>0.1</v>
      </c>
      <c r="Q21" s="74">
        <f>O21*P21</f>
        <v/>
      </c>
      <c r="R21" s="65">
        <f>O21+Q21</f>
        <v/>
      </c>
      <c r="S21" s="75" t="inlineStr">
        <is>
          <t>〰️ stima — voce CRITICA per risolvere lo sbilanciamento segnalato dal cliente. N.anelli da confermare con rilievo.</t>
        </is>
      </c>
      <c r="T21" s="107">
        <f>L21/52</f>
        <v/>
      </c>
      <c r="U21" s="107">
        <f>T21/2</f>
        <v/>
      </c>
      <c r="V21" s="107">
        <f>U21/8</f>
        <v/>
      </c>
    </row>
    <row r="22" ht="12.95" customHeight="1" s="37">
      <c r="A22" s="54" t="inlineStr">
        <is>
          <t xml:space="preserve">  IMPIANTO ELETTRICO — QUADRO E ALIMENTAZIONI PDC</t>
        </is>
      </c>
      <c r="S22" s="55" t="n"/>
      <c r="T22" s="55" t="n"/>
      <c r="V22" s="55" t="n"/>
    </row>
    <row r="23" ht="36" customHeight="1" s="37">
      <c r="A23" s="56" t="inlineStr">
        <is>
          <t>Quadro elettrico C.T. — nuovo, dedicato PDC</t>
        </is>
      </c>
      <c r="B23" s="57" t="inlineStr">
        <is>
          <t>Hager / Legrand</t>
        </is>
      </c>
      <c r="C23" s="58" t="inlineStr">
        <is>
          <t>Nuovo quadro dedicato in sostituzione del vecchio (foto): sezioni GENERALE (interruttore magnetotermico 4P+N 63A), PDC 1 (MCCB 4P 25A + diff. 300mA), PDC 2 (MCCB 4P 25A + diff. 300mA), CIRCOLATORI (MCB 4P 10A × 2), CONTROLLO/AUSILIARI (MCB 1P × 4), SPD Classe II, morsettiere, schemi elettrici. Armadio plastica IP65.</t>
        </is>
      </c>
      <c r="D23" s="59" t="n">
        <v>1</v>
      </c>
      <c r="E23" s="60" t="n">
        <v>1400</v>
      </c>
      <c r="F23" s="60">
        <f>D23*E23</f>
        <v/>
      </c>
      <c r="G23" s="61" t="n">
        <v>0</v>
      </c>
      <c r="H23" s="60">
        <f>F23*(1-G23)</f>
        <v/>
      </c>
      <c r="I23" s="62" t="n">
        <v>0.05</v>
      </c>
      <c r="J23" s="60">
        <f>H23*I23</f>
        <v/>
      </c>
      <c r="K23" s="62" t="n">
        <v>0.28</v>
      </c>
      <c r="L23" s="60">
        <f>(H23+J23)*K23</f>
        <v/>
      </c>
      <c r="M23" s="62" t="n">
        <v>0.25</v>
      </c>
      <c r="N23" s="60">
        <f>(H23+J23+L23)*M23</f>
        <v/>
      </c>
      <c r="O23" s="60">
        <f>H23+J23+L23+N23</f>
        <v/>
      </c>
      <c r="P23" s="63" t="n">
        <v>0.1</v>
      </c>
      <c r="Q23" s="64">
        <f>O23*P23</f>
        <v/>
      </c>
      <c r="R23" s="65">
        <f>O23+Q23</f>
        <v/>
      </c>
      <c r="S23" s="66" t="inlineStr">
        <is>
          <t>〰️ stima — il vecchio quadro (foto) ha sezioni CALDAIA e logica a relè: non riutilizzabile per PDC inverter con controllo M/S</t>
        </is>
      </c>
      <c r="T23" s="106">
        <f>L23/52</f>
        <v/>
      </c>
      <c r="U23" s="106">
        <f>T23/2</f>
        <v/>
      </c>
      <c r="V23" s="106">
        <f>U23/8</f>
        <v/>
      </c>
    </row>
    <row r="24" ht="36" customHeight="1" s="37">
      <c r="A24" s="68" t="inlineStr">
        <is>
          <t>Cavi alimentazione PDC trifase 400V</t>
        </is>
      </c>
      <c r="B24" s="69" t="n"/>
      <c r="C24" s="70" t="inlineStr">
        <is>
          <t>N.2 linee FG7OR 4G10mm² dal QE C.T. alle unità esterne (stima 2×15m = 30m totali), conduit corrugato staffato, passaggi parete, fascette inox.</t>
        </is>
      </c>
      <c r="D24" s="71" t="n">
        <v>1</v>
      </c>
      <c r="E24" s="72" t="n">
        <v>680</v>
      </c>
      <c r="F24" s="72">
        <f>D24*E24</f>
        <v/>
      </c>
      <c r="G24" s="73" t="n">
        <v>0</v>
      </c>
      <c r="H24" s="72">
        <f>F24*(1-G24)</f>
        <v/>
      </c>
      <c r="I24" s="62" t="n">
        <v>0.07000000000000001</v>
      </c>
      <c r="J24" s="72">
        <f>H24*I24</f>
        <v/>
      </c>
      <c r="K24" s="62" t="n">
        <v>0.32</v>
      </c>
      <c r="L24" s="72">
        <f>(H24+J24)*K24</f>
        <v/>
      </c>
      <c r="M24" s="62" t="n">
        <v>0.25</v>
      </c>
      <c r="N24" s="72">
        <f>(H24+J24+L24)*M24</f>
        <v/>
      </c>
      <c r="O24" s="72">
        <f>H24+J24+L24+N24</f>
        <v/>
      </c>
      <c r="P24" s="63" t="n">
        <v>0.1</v>
      </c>
      <c r="Q24" s="74">
        <f>O24*P24</f>
        <v/>
      </c>
      <c r="R24" s="65">
        <f>O24+Q24</f>
        <v/>
      </c>
      <c r="S24" s="75" t="inlineStr">
        <is>
          <t>〰️ stima — lunghezza definitiva da rilievo posizionamento PDC</t>
        </is>
      </c>
      <c r="T24" s="107">
        <f>L24/52</f>
        <v/>
      </c>
      <c r="U24" s="107">
        <f>T24/2</f>
        <v/>
      </c>
      <c r="V24" s="107">
        <f>U24/8</f>
        <v/>
      </c>
    </row>
    <row r="25" ht="36" customHeight="1" s="37">
      <c r="A25" s="56" t="inlineStr">
        <is>
          <t>Cavi segnale: bus M/S + sonda T aria esterna + conduit</t>
        </is>
      </c>
      <c r="B25" s="57" t="n"/>
      <c r="C25" s="58" t="inlineStr">
        <is>
          <t>Cavo RS485 collegamento master/slave (≤15m), cavo sonda temperatura aria esterna, conduit segnali separato dai cavi forza, etichettatura.</t>
        </is>
      </c>
      <c r="D25" s="59" t="n">
        <v>1</v>
      </c>
      <c r="E25" s="60" t="n">
        <v>240</v>
      </c>
      <c r="F25" s="60">
        <f>D25*E25</f>
        <v/>
      </c>
      <c r="G25" s="61" t="n">
        <v>0</v>
      </c>
      <c r="H25" s="60">
        <f>F25*(1-G25)</f>
        <v/>
      </c>
      <c r="I25" s="62" t="n">
        <v>0.07000000000000001</v>
      </c>
      <c r="J25" s="60">
        <f>H25*I25</f>
        <v/>
      </c>
      <c r="K25" s="62" t="n">
        <v>0.32</v>
      </c>
      <c r="L25" s="60">
        <f>(H25+J25)*K25</f>
        <v/>
      </c>
      <c r="M25" s="62" t="n">
        <v>0.25</v>
      </c>
      <c r="N25" s="60">
        <f>(H25+J25+L25)*M25</f>
        <v/>
      </c>
      <c r="O25" s="60">
        <f>H25+J25+L25+N25</f>
        <v/>
      </c>
      <c r="P25" s="63" t="n">
        <v>0.1</v>
      </c>
      <c r="Q25" s="64">
        <f>O25*P25</f>
        <v/>
      </c>
      <c r="R25" s="65">
        <f>O25+Q25</f>
        <v/>
      </c>
      <c r="S25" s="66" t="inlineStr">
        <is>
          <t>〰️ stima</t>
        </is>
      </c>
      <c r="T25" s="106">
        <f>L25/52</f>
        <v/>
      </c>
      <c r="U25" s="106">
        <f>T25/2</f>
        <v/>
      </c>
      <c r="V25" s="106">
        <f>U25/8</f>
        <v/>
      </c>
    </row>
    <row r="26" ht="36" customHeight="1" s="37">
      <c r="A26" s="68" t="inlineStr">
        <is>
          <t>Messa a terra strutture + equipotenziale unità esterne</t>
        </is>
      </c>
      <c r="B26" s="69" t="n"/>
      <c r="C26" s="70" t="inlineStr">
        <is>
          <t>Conduttori PE, morsetti equipotenziali, verifica e adeguamento dispersore esistente.</t>
        </is>
      </c>
      <c r="D26" s="71" t="n">
        <v>1</v>
      </c>
      <c r="E26" s="72" t="n">
        <v>160</v>
      </c>
      <c r="F26" s="72">
        <f>D26*E26</f>
        <v/>
      </c>
      <c r="G26" s="73" t="n">
        <v>0</v>
      </c>
      <c r="H26" s="72">
        <f>F26*(1-G26)</f>
        <v/>
      </c>
      <c r="I26" s="62" t="n">
        <v>0.07000000000000001</v>
      </c>
      <c r="J26" s="72">
        <f>H26*I26</f>
        <v/>
      </c>
      <c r="K26" s="62" t="n">
        <v>0.32</v>
      </c>
      <c r="L26" s="72">
        <f>(H26+J26)*K26</f>
        <v/>
      </c>
      <c r="M26" s="62" t="n">
        <v>0.25</v>
      </c>
      <c r="N26" s="72">
        <f>(H26+J26+L26)*M26</f>
        <v/>
      </c>
      <c r="O26" s="72">
        <f>H26+J26+L26+N26</f>
        <v/>
      </c>
      <c r="P26" s="63" t="n">
        <v>0.1</v>
      </c>
      <c r="Q26" s="74">
        <f>O26*P26</f>
        <v/>
      </c>
      <c r="R26" s="65">
        <f>O26+Q26</f>
        <v/>
      </c>
      <c r="S26" s="75" t="inlineStr">
        <is>
          <t>〰️ stima</t>
        </is>
      </c>
      <c r="T26" s="107">
        <f>L26/52</f>
        <v/>
      </c>
      <c r="U26" s="107">
        <f>T26/2</f>
        <v/>
      </c>
      <c r="V26" s="107">
        <f>U26/8</f>
        <v/>
      </c>
    </row>
    <row r="27" ht="12.95" customHeight="1" s="37">
      <c r="A27" s="54" t="inlineStr">
        <is>
          <t xml:space="preserve">  CHIUSURA FORNITURA GAS</t>
        </is>
      </c>
      <c r="S27" s="55" t="n"/>
      <c r="T27" s="55" t="n"/>
      <c r="V27" s="55" t="n"/>
    </row>
    <row r="28" ht="36" customHeight="1" s="37">
      <c r="A28" s="56" t="inlineStr">
        <is>
          <t>Chiusura contratto gas + disattivazione impianto in C.T.</t>
        </is>
      </c>
      <c r="B28" s="57" t="inlineStr">
        <is>
          <t>Hera Comm / impiantista abilitato</t>
        </is>
      </c>
      <c r="C28" s="58" t="inlineStr">
        <is>
          <t>Richiesta formale chiusura PDR 07150100003052 (Hera Comm), intervento gestore per tappatura PDR lato strada, smontaggio raccorderia gas in C.T., tappatura valvola principale. La chiusura PDR elimina la quota fissa gas (636 €/anno).</t>
        </is>
      </c>
      <c r="D28" s="59" t="n">
        <v>1</v>
      </c>
      <c r="E28" s="60" t="n">
        <v>280</v>
      </c>
      <c r="F28" s="60">
        <f>D28*E28</f>
        <v/>
      </c>
      <c r="G28" s="61" t="n">
        <v>0</v>
      </c>
      <c r="H28" s="60">
        <f>F28*(1-G28)</f>
        <v/>
      </c>
      <c r="I28" s="62" t="n">
        <v>0.06</v>
      </c>
      <c r="J28" s="60">
        <f>H28*I28</f>
        <v/>
      </c>
      <c r="K28" s="62" t="n">
        <v>0.25</v>
      </c>
      <c r="L28" s="60">
        <f>(H28+J28)*K28</f>
        <v/>
      </c>
      <c r="M28" s="62" t="n">
        <v>0.28</v>
      </c>
      <c r="N28" s="60">
        <f>(H28+J28+L28)*M28</f>
        <v/>
      </c>
      <c r="O28" s="60">
        <f>H28+J28+L28+N28</f>
        <v/>
      </c>
      <c r="P28" s="63" t="n">
        <v>0.1</v>
      </c>
      <c r="Q28" s="64">
        <f>O28*P28</f>
        <v/>
      </c>
      <c r="R28" s="65">
        <f>O28+Q28</f>
        <v/>
      </c>
      <c r="S28" s="66" t="inlineStr">
        <is>
          <t>〰️ stima — la chiusura del contratto è spesso gratuita lato gestore; il costo qui è la prestazione dell'impiantista</t>
        </is>
      </c>
      <c r="T28" s="106">
        <f>L28/52</f>
        <v/>
      </c>
      <c r="U28" s="106">
        <f>T28/2</f>
        <v/>
      </c>
      <c r="V28" s="106">
        <f>U28/8</f>
        <v/>
      </c>
    </row>
    <row r="29" ht="12.95" customHeight="1" s="37">
      <c r="A29" s="54" t="inlineStr">
        <is>
          <t xml:space="preserve">  TRASPORTO</t>
        </is>
      </c>
      <c r="S29" s="55" t="n"/>
      <c r="T29" s="55" t="n"/>
      <c r="V29" s="55" t="n"/>
    </row>
    <row r="30" ht="36" customHeight="1" s="37">
      <c r="A30" s="56" t="inlineStr">
        <is>
          <t>Trasporto materiali e macchine</t>
        </is>
      </c>
      <c r="B30" s="57" t="inlineStr">
        <is>
          <t>RHOSS + altri fornitori</t>
        </is>
      </c>
      <c r="C30" s="58" t="inlineStr">
        <is>
          <t>RHOSS: collettame P.C. (da offerta 2× THAITI 118: 466 €, interpolato per 122). Varie: tubazioni, quadri, circolatori.</t>
        </is>
      </c>
      <c r="D30" s="59" t="n">
        <v>1</v>
      </c>
      <c r="E30" s="60" t="n">
        <v>750</v>
      </c>
      <c r="F30" s="60">
        <f>D30*E30</f>
        <v/>
      </c>
      <c r="G30" s="61" t="n">
        <v>0</v>
      </c>
      <c r="H30" s="60">
        <f>F30*(1-G30)</f>
        <v/>
      </c>
      <c r="I30" s="62" t="n">
        <v>0</v>
      </c>
      <c r="J30" s="60" t="n">
        <v>0</v>
      </c>
      <c r="K30" s="62" t="n">
        <v>0</v>
      </c>
      <c r="L30" s="60" t="n">
        <v>0</v>
      </c>
      <c r="M30" s="62" t="n">
        <v>0.12</v>
      </c>
      <c r="N30" s="60">
        <f>H30*M30</f>
        <v/>
      </c>
      <c r="O30" s="60">
        <f>H30+N30</f>
        <v/>
      </c>
      <c r="P30" s="63" t="n">
        <v>0</v>
      </c>
      <c r="Q30" s="64">
        <f>O30*P30</f>
        <v/>
      </c>
      <c r="R30" s="65">
        <f>O30+Q30</f>
        <v/>
      </c>
      <c r="S30" s="66" t="inlineStr">
        <is>
          <t>〰️ stima composita</t>
        </is>
      </c>
      <c r="T30" s="106" t="n">
        <v>0</v>
      </c>
      <c r="U30" s="106" t="n">
        <v>0</v>
      </c>
      <c r="V30" s="106" t="n">
        <v>0</v>
      </c>
    </row>
    <row r="31" ht="15" customHeight="1" s="37">
      <c r="A31" s="79" t="inlineStr">
        <is>
          <t xml:space="preserve">  SUBTOTALE LAVORI — IVA esclusa</t>
        </is>
      </c>
      <c r="R31" s="80">
        <f>SUM(R6:R30)</f>
        <v/>
      </c>
      <c r="T31" s="108">
        <f>SUM(T6:T30)</f>
        <v/>
      </c>
      <c r="U31" s="108">
        <f>SUM(U6:U30)</f>
        <v/>
      </c>
      <c r="V31" s="108">
        <f>SUM(V6:V30)</f>
        <v/>
      </c>
    </row>
    <row r="32" ht="27.95" customHeight="1" s="37">
      <c r="A32" s="82" t="inlineStr">
        <is>
          <t xml:space="preserve">  ⚠️  ONERI PROFESSIONALI NON INCLUSI nel subtotale — da fatturare separatamente:  Progettazione esecutiva impianto termico (DM 37/2008, PN &gt; 35 kW → tecnico abilitato obbligatorio)  |  Direzione lavori  |  Pratiche CURIT / aggiornamento libretto impianto  |  Collaudo e verifica prestazionale.  Stima indicativa oneri professionali: 8÷10% del subtotale lavori.</t>
        </is>
      </c>
    </row>
    <row r="33" ht="21.95" customHeight="1" s="37">
      <c r="A33" s="83" t="inlineStr">
        <is>
          <t xml:space="preserve">  NOTA: UPGRADE CONTRATTO POTENZA — NON nel computo — La potenza contrattuale attuale è 23 kW; picco misurato gen.2026: 39,7 kW (supero già in atto). Con PDC+VRF: picco stimato 50-55 kW. Richiedere upgrade POD a Enel/E-Distribuzione: costo una tantum ~300-800 €; impatto annuo quota potenza: stima +1.000÷1.500 €/anno — da inserire nel computo economico ma NON nel preventivo lavori.</t>
        </is>
      </c>
    </row>
    <row r="34" ht="18" customHeight="1" s="37">
      <c r="A34" s="83" t="inlineStr">
        <is>
          <t>LEGENDA AFFIDABILITÀ:  ✅ Verde = dato da fonte certa (offerta formale, misura)   〰️ Bianco/grigio = stima da listini o letteratura — da confermare con preventivo formale   ⚠️ Arancio = dato critico — verificare prima di procedere   Colonne gialle (I, K, M, P) = coefficienti individuali per riga</t>
        </is>
      </c>
    </row>
  </sheetData>
  <mergeCells count="16">
    <mergeCell ref="M2:R2"/>
    <mergeCell ref="A4:H4"/>
    <mergeCell ref="A2:L2"/>
    <mergeCell ref="A15:R15"/>
    <mergeCell ref="A29:R29"/>
    <mergeCell ref="A33:V33"/>
    <mergeCell ref="A32:V32"/>
    <mergeCell ref="S2:V2"/>
    <mergeCell ref="A1:R1"/>
    <mergeCell ref="A5:R5"/>
    <mergeCell ref="A9:R9"/>
    <mergeCell ref="A27:R27"/>
    <mergeCell ref="A31:O31"/>
    <mergeCell ref="A34:V34"/>
    <mergeCell ref="A22:R22"/>
    <mergeCell ref="A12:R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6"/>
  <sheetViews>
    <sheetView tabSelected="1" zoomScale="110" zoomScaleNormal="110" workbookViewId="0">
      <pane ySplit="4" topLeftCell="A5" activePane="bottomLeft" state="frozen"/>
      <selection pane="bottomLeft" activeCell="B63" sqref="B63"/>
    </sheetView>
  </sheetViews>
  <sheetFormatPr baseColWidth="8" defaultRowHeight="15"/>
  <cols>
    <col width="34" customWidth="1" style="47" min="1" max="1"/>
    <col width="16" customWidth="1" style="47" min="2" max="2"/>
    <col width="50" customWidth="1" style="47" min="3" max="3"/>
    <col width="5" customWidth="1" style="47" min="4" max="4"/>
    <col width="12" customWidth="1" style="47" min="5" max="6"/>
    <col width="5" customWidth="1" style="47" min="7" max="7"/>
    <col width="12" customWidth="1" style="47" min="8" max="8"/>
    <col width="5" customWidth="1" style="47" min="9" max="9"/>
    <col width="10" customWidth="1" style="47" min="10" max="10"/>
    <col width="5" customWidth="1" style="47" min="11" max="11"/>
    <col width="10" customWidth="1" style="47" min="12" max="12"/>
    <col width="5" customWidth="1" style="47" min="13" max="13"/>
    <col width="10" customWidth="1" style="47" min="14" max="14"/>
    <col width="12" customWidth="1" style="47" min="15" max="15"/>
    <col width="5" customWidth="1" style="47" min="16" max="16"/>
    <col width="10" customWidth="1" style="47" min="17" max="17"/>
    <col width="14" customWidth="1" style="95" min="18" max="18"/>
    <col width="34" customWidth="1" style="47" min="19" max="19"/>
    <col width="7" customWidth="1" style="47" min="20" max="22"/>
    <col width="9.140625" customWidth="1" style="47" min="23" max="16384"/>
  </cols>
  <sheetData>
    <row r="1" ht="21.95" customHeight="1" s="37">
      <c r="A1" s="44" t="inlineStr">
        <is>
          <t xml:space="preserve">  STIMA PRELIMINARE — ECO SHOPPER / 2WIN SRL  |  Via dei Falegnami 1/D, Castello d'Argile (BO)  | </t>
        </is>
      </c>
      <c r="S1" s="46" t="inlineStr">
        <is>
          <t>Aprile 2026</t>
        </is>
      </c>
    </row>
    <row r="2" ht="18" customHeight="1" s="37">
      <c r="A2" s="48" t="inlineStr">
        <is>
          <t xml:space="preserve">  SCENARIO C — FV 35 kWp + PDC Idronica  [RACCOMANDATO con CT 3.0]</t>
        </is>
      </c>
      <c r="M2" s="49" t="inlineStr">
        <is>
          <t>Prezzi al cliente finale — IVA esclusa | Oneri professionali NON inclusi</t>
        </is>
      </c>
      <c r="S2" s="50" t="inlineStr">
        <is>
          <t>76 pan. JKM460N | Inv. 35kW | 2× THAITI 122 | SC%≈58% | Gas eliminato | CT 3.0 su PDC</t>
        </is>
      </c>
    </row>
    <row r="3" ht="33.95" customHeight="1" s="37">
      <c r="A3" s="51" t="inlineStr">
        <is>
          <t>Articolo / Descrizione</t>
        </is>
      </c>
      <c r="B3" s="51" t="inlineStr">
        <is>
          <t>Marca / Rif.</t>
        </is>
      </c>
      <c r="C3" s="51" t="inlineStr">
        <is>
          <t>Specifiche tecniche e note</t>
        </is>
      </c>
      <c r="D3" s="51" t="inlineStr">
        <is>
          <t>q.ta</t>
        </is>
      </c>
      <c r="E3" s="51" t="inlineStr">
        <is>
          <t>P.U. netto
install. €</t>
        </is>
      </c>
      <c r="F3" s="51" t="inlineStr">
        <is>
          <t>Importo
fornitura €</t>
        </is>
      </c>
      <c r="G3" s="51" t="inlineStr">
        <is>
          <t>sc.%</t>
        </is>
      </c>
      <c r="H3" s="51" t="inlineStr">
        <is>
          <t>Costo
materiale €</t>
        </is>
      </c>
      <c r="I3" s="51" t="inlineStr">
        <is>
          <t>op.
acc%</t>
        </is>
      </c>
      <c r="J3" s="51" t="inlineStr">
        <is>
          <t>op.acc
€</t>
        </is>
      </c>
      <c r="K3" s="51" t="inlineStr">
        <is>
          <t>inst.
%</t>
        </is>
      </c>
      <c r="L3" s="51" t="inlineStr">
        <is>
          <t>install
€</t>
        </is>
      </c>
      <c r="M3" s="51" t="inlineStr">
        <is>
          <t>ric.
%</t>
        </is>
      </c>
      <c r="N3" s="51" t="inlineStr">
        <is>
          <t>ricarico
€</t>
        </is>
      </c>
      <c r="O3" s="51" t="inlineStr">
        <is>
          <t>TOT
riga €</t>
        </is>
      </c>
      <c r="P3" s="51" t="inlineStr">
        <is>
          <t>impr
%</t>
        </is>
      </c>
      <c r="Q3" s="51" t="inlineStr">
        <is>
          <t>impr.
€</t>
        </is>
      </c>
      <c r="R3" s="94" t="inlineStr">
        <is>
          <t>PREZZO
TOTALE €</t>
        </is>
      </c>
      <c r="S3" s="51" t="inlineStr">
        <is>
          <t>Nota / Fonte / Affidabilità</t>
        </is>
      </c>
      <c r="T3" s="51" t="inlineStr">
        <is>
          <t>h</t>
        </is>
      </c>
      <c r="U3" s="51" t="inlineStr">
        <is>
          <t>2p</t>
        </is>
      </c>
      <c r="V3" s="51" t="inlineStr">
        <is>
          <t>gg</t>
        </is>
      </c>
    </row>
    <row r="4" ht="11.1" customHeight="1" s="37">
      <c r="A4" s="52" t="inlineStr">
        <is>
          <t xml:space="preserve">  Coefficienti individuali per riga (non uniformi) — vedi colonne I, K, M, P</t>
        </is>
      </c>
      <c r="I4" s="53" t="inlineStr">
        <is>
          <t>↓ riga</t>
        </is>
      </c>
      <c r="K4" s="53" t="inlineStr">
        <is>
          <t>↓ riga</t>
        </is>
      </c>
      <c r="M4" s="53" t="inlineStr">
        <is>
          <t>↓ riga</t>
        </is>
      </c>
      <c r="P4" s="53" t="inlineStr">
        <is>
          <t>↓ riga</t>
        </is>
      </c>
    </row>
    <row r="5" ht="12.95" customHeight="1" s="37">
      <c r="A5" s="84" t="inlineStr">
        <is>
          <t xml:space="preserve">  ━━━━━━  SEZIONE 1 -  FOTOVOLTAICO — 35 kWp  ━━━━━━</t>
        </is>
      </c>
      <c r="S5" s="85" t="n"/>
      <c r="T5" s="85" t="n"/>
      <c r="U5" s="85" t="n"/>
      <c r="V5" s="85" t="n"/>
    </row>
    <row r="6" ht="12.95" customHeight="1" s="37">
      <c r="A6" s="103" t="inlineStr">
        <is>
          <t xml:space="preserve">  FORNITURA PANNELLI FOTOVOLTAICI</t>
        </is>
      </c>
      <c r="B6" s="103" t="n"/>
      <c r="C6" s="103" t="n"/>
      <c r="D6" s="103" t="n"/>
      <c r="E6" s="103" t="n"/>
      <c r="F6" s="103" t="n"/>
      <c r="G6" s="103" t="n"/>
      <c r="H6" s="103" t="n"/>
      <c r="I6" s="103" t="n"/>
      <c r="J6" s="103" t="n"/>
      <c r="K6" s="103" t="n"/>
      <c r="L6" s="103" t="n"/>
      <c r="M6" s="103" t="n"/>
      <c r="N6" s="103" t="n"/>
      <c r="O6" s="103" t="n"/>
      <c r="P6" s="103" t="n"/>
      <c r="Q6" s="103" t="n"/>
      <c r="R6" s="103" t="n"/>
      <c r="S6" s="55" t="n"/>
      <c r="T6" s="55" t="n"/>
      <c r="U6" s="55" t="n"/>
      <c r="V6" s="55" t="n"/>
    </row>
    <row r="7" ht="36" customHeight="1" s="37">
      <c r="A7" s="77" t="inlineStr">
        <is>
          <t>Pannelli FV JKM460N-48HL4M-BDV-Z3-EU — n.76 pz.</t>
        </is>
      </c>
      <c r="B7" s="88" t="inlineStr">
        <is>
          <t>JinkoSolar Tiger Neo</t>
        </is>
      </c>
      <c r="C7" s="58" t="inlineStr">
        <is>
          <t>460 Wp STC, N-type TOPCon bifacciale dual glass, η=23,02%, bifacialità φ=80%, T.C.Pmax −0,29%/°C (migliore del Si p-type). Garanzia prodotto 15a / potenza lineare 30a (87,4% a 30a, deg. 0,40%/a). Configurazione: 76 pannelli × 460 Wp = 35.0 kWp.</t>
        </is>
      </c>
      <c r="D7" s="59" t="n">
        <v>76</v>
      </c>
      <c r="E7" s="60" t="n">
        <v>105</v>
      </c>
      <c r="F7" s="60">
        <f>D7*E7</f>
        <v/>
      </c>
      <c r="G7" s="61" t="n">
        <v>0</v>
      </c>
      <c r="H7" s="60">
        <f>F7*(1-G7)</f>
        <v/>
      </c>
      <c r="I7" s="62" t="n">
        <v>0.02</v>
      </c>
      <c r="J7" s="60">
        <f>H7*I7</f>
        <v/>
      </c>
      <c r="K7" s="62" t="n">
        <v>0.2</v>
      </c>
      <c r="L7" s="60">
        <f>(H7+J7)*K7</f>
        <v/>
      </c>
      <c r="M7" s="62" t="n">
        <v>0.22</v>
      </c>
      <c r="N7" s="60">
        <f>(H7+J7+L7)*M7</f>
        <v/>
      </c>
      <c r="O7" s="60">
        <f>H7+J7+L7+N7</f>
        <v/>
      </c>
      <c r="P7" s="63" t="n">
        <v>0.1</v>
      </c>
      <c r="Q7" s="64">
        <f>O7*P7</f>
        <v/>
      </c>
      <c r="R7" s="96">
        <f>O7+Q7</f>
        <v/>
      </c>
      <c r="S7" s="66" t="inlineStr">
        <is>
          <t>〰️ prezzo netto installatore stimato 0,228 €/Wp — mercato IT 2026 N-type bifacciale: 0,20÷0,25 €/Wp</t>
        </is>
      </c>
      <c r="T7" s="106">
        <f>L7/52</f>
        <v/>
      </c>
      <c r="U7" s="106">
        <f>T7/2</f>
        <v/>
      </c>
      <c r="V7" s="106">
        <f>U7/8</f>
        <v/>
      </c>
    </row>
    <row r="8" ht="12.95" customHeight="1" s="37">
      <c r="A8" s="103" t="inlineStr">
        <is>
          <t xml:space="preserve">  INVERTER, MISURA E PROTEZIONI</t>
        </is>
      </c>
      <c r="B8" s="103" t="n"/>
      <c r="C8" s="103" t="n"/>
      <c r="D8" s="103" t="n"/>
      <c r="E8" s="103" t="n"/>
      <c r="F8" s="103" t="n"/>
      <c r="G8" s="103" t="n"/>
      <c r="H8" s="103" t="n"/>
      <c r="I8" s="103" t="n"/>
      <c r="J8" s="103" t="n"/>
      <c r="K8" s="103" t="n"/>
      <c r="L8" s="103" t="n"/>
      <c r="M8" s="103" t="n"/>
      <c r="N8" s="103" t="n"/>
      <c r="O8" s="103" t="n"/>
      <c r="P8" s="103" t="n"/>
      <c r="Q8" s="103" t="n"/>
      <c r="R8" s="103" t="n"/>
      <c r="S8" s="55" t="n"/>
      <c r="T8" s="55" t="n"/>
      <c r="U8" s="55" t="n"/>
      <c r="V8" s="55" t="n"/>
    </row>
    <row r="9" ht="36" customHeight="1" s="37">
      <c r="A9" s="56" t="inlineStr">
        <is>
          <t>Inverter ibrido trifase DC-coupled 35 kW</t>
        </is>
      </c>
      <c r="B9" s="88" t="inlineStr">
        <is>
          <t>SMA / Fronius / Huawei (da definire in fase esecutiva)</t>
        </is>
      </c>
      <c r="C9" s="58" t="inlineStr">
        <is>
          <t>400V 3+N+PE 50Hz, predisposizione storage DC-coupled nativa, ≥2 MPPT indipendenti, monitoraggio remoto integrato, efficienza max &gt;98%, conforme CEI 0-21, gestione SmartGrid per priorità autoconsumo.</t>
        </is>
      </c>
      <c r="D9" s="59" t="n">
        <v>1</v>
      </c>
      <c r="E9" s="60" t="n">
        <v>5100</v>
      </c>
      <c r="F9" s="60">
        <f>D9*E9</f>
        <v/>
      </c>
      <c r="G9" s="61" t="n">
        <v>0</v>
      </c>
      <c r="H9" s="60">
        <f>F9*(1-G9)</f>
        <v/>
      </c>
      <c r="I9" s="62" t="n">
        <v>0.02</v>
      </c>
      <c r="J9" s="60">
        <f>H9*I9</f>
        <v/>
      </c>
      <c r="K9" s="62" t="n">
        <v>0.07000000000000001</v>
      </c>
      <c r="L9" s="60">
        <f>(H9+J9)*K9</f>
        <v/>
      </c>
      <c r="M9" s="62" t="n">
        <v>0.25</v>
      </c>
      <c r="N9" s="60">
        <f>(H9+J9+L9)*M9</f>
        <v/>
      </c>
      <c r="O9" s="60">
        <f>H9+J9+L9+N9</f>
        <v/>
      </c>
      <c r="P9" s="63" t="n">
        <v>0.1</v>
      </c>
      <c r="Q9" s="64">
        <f>O9*P9</f>
        <v/>
      </c>
      <c r="R9" s="96">
        <f>O9+Q9</f>
        <v/>
      </c>
      <c r="S9" s="66" t="inlineStr">
        <is>
          <t>〰️ stima listino 2026 — da confrontare con offerta installatore: SMA STP-X 25: ~3.500-4.200 €; Fronius GEN24 25: ~4.000-5.000 €</t>
        </is>
      </c>
      <c r="T9" s="106">
        <f>L9/52</f>
        <v/>
      </c>
      <c r="U9" s="106">
        <f>T9/2</f>
        <v/>
      </c>
      <c r="V9" s="106">
        <f>U9/8</f>
        <v/>
      </c>
    </row>
    <row r="10" ht="36" customHeight="1" s="37">
      <c r="A10" s="68" t="inlineStr">
        <is>
          <t>Quadro AC protezioni FV + SPI interno</t>
        </is>
      </c>
      <c r="B10" s="69" t="n"/>
      <c r="C10" s="70" t="inlineStr">
        <is>
          <t>MCCB AC lato rete, SPD Classe II AC, sezionatore con blocco-porta, contattore, morsettiere, armadio IP65.</t>
        </is>
      </c>
      <c r="D10" s="71" t="n">
        <v>1</v>
      </c>
      <c r="E10" s="72" t="n">
        <v>540</v>
      </c>
      <c r="F10" s="72">
        <f>D10*E10</f>
        <v/>
      </c>
      <c r="G10" s="73" t="n">
        <v>0</v>
      </c>
      <c r="H10" s="72">
        <f>F10*(1-G10)</f>
        <v/>
      </c>
      <c r="I10" s="62" t="n">
        <v>0.07000000000000001</v>
      </c>
      <c r="J10" s="72">
        <f>H10*I10</f>
        <v/>
      </c>
      <c r="K10" s="62" t="n">
        <v>0.28</v>
      </c>
      <c r="L10" s="72">
        <f>(H10+J10)*K10</f>
        <v/>
      </c>
      <c r="M10" s="62" t="n">
        <v>0.22</v>
      </c>
      <c r="N10" s="72">
        <f>(H10+J10+L10)*M10</f>
        <v/>
      </c>
      <c r="O10" s="72">
        <f>H10+J10+L10+N10</f>
        <v/>
      </c>
      <c r="P10" s="63" t="n">
        <v>0.1</v>
      </c>
      <c r="Q10" s="74">
        <f>O10*P10</f>
        <v/>
      </c>
      <c r="R10" s="96">
        <f>O10+Q10</f>
        <v/>
      </c>
      <c r="S10" s="75" t="inlineStr">
        <is>
          <t>〰️ stima</t>
        </is>
      </c>
      <c r="T10" s="107">
        <f>L10/52</f>
        <v/>
      </c>
      <c r="U10" s="107">
        <f>T10/2</f>
        <v/>
      </c>
      <c r="V10" s="107">
        <f>U10/8</f>
        <v/>
      </c>
    </row>
    <row r="11" ht="36" customHeight="1" s="37">
      <c r="A11" s="56" t="inlineStr">
        <is>
          <t>Contatore bidirezionale produzione + scambio</t>
        </is>
      </c>
      <c r="B11" s="57" t="n"/>
      <c r="C11" s="58" t="inlineStr">
        <is>
          <t>Misura produzione, energia immessa e prelevata — obbligatorio per pratiche GSE e SSP.</t>
        </is>
      </c>
      <c r="D11" s="59" t="n">
        <v>1</v>
      </c>
      <c r="E11" s="60" t="n">
        <v>260</v>
      </c>
      <c r="F11" s="60">
        <f>D11*E11</f>
        <v/>
      </c>
      <c r="G11" s="61" t="n">
        <v>0</v>
      </c>
      <c r="H11" s="60">
        <f>F11*(1-G11)</f>
        <v/>
      </c>
      <c r="I11" s="62" t="n">
        <v>0.07000000000000001</v>
      </c>
      <c r="J11" s="60">
        <f>H11*I11</f>
        <v/>
      </c>
      <c r="K11" s="62" t="n">
        <v>0.28</v>
      </c>
      <c r="L11" s="60">
        <f>(H11+J11)*K11</f>
        <v/>
      </c>
      <c r="M11" s="62" t="n">
        <v>0.22</v>
      </c>
      <c r="N11" s="60">
        <f>(H11+J11+L11)*M11</f>
        <v/>
      </c>
      <c r="O11" s="60">
        <f>H11+J11+L11+N11</f>
        <v/>
      </c>
      <c r="P11" s="63" t="n">
        <v>0.1</v>
      </c>
      <c r="Q11" s="64">
        <f>O11*P11</f>
        <v/>
      </c>
      <c r="R11" s="96">
        <f>O11+Q11</f>
        <v/>
      </c>
      <c r="S11" s="66" t="inlineStr">
        <is>
          <t>〰️ stima — verificare requisiti specifici E-Distribuzione</t>
        </is>
      </c>
      <c r="T11" s="106">
        <f>L11/52</f>
        <v/>
      </c>
      <c r="U11" s="106">
        <f>T11/2</f>
        <v/>
      </c>
      <c r="V11" s="106">
        <f>U11/8</f>
        <v/>
      </c>
    </row>
    <row r="12" ht="12.95" customHeight="1" s="37">
      <c r="A12" s="103" t="inlineStr">
        <is>
          <t xml:space="preserve">  STRUTTURE DI MONTAGGIO — TETTO PIANO</t>
        </is>
      </c>
      <c r="B12" s="103" t="n"/>
      <c r="C12" s="103" t="n"/>
      <c r="D12" s="103" t="n"/>
      <c r="E12" s="103" t="n"/>
      <c r="F12" s="103" t="n"/>
      <c r="G12" s="103" t="n"/>
      <c r="H12" s="103" t="n"/>
      <c r="I12" s="103" t="n"/>
      <c r="J12" s="103" t="n"/>
      <c r="K12" s="103" t="n"/>
      <c r="L12" s="103" t="n"/>
      <c r="M12" s="103" t="n"/>
      <c r="N12" s="103" t="n"/>
      <c r="O12" s="103" t="n"/>
      <c r="P12" s="103" t="n"/>
      <c r="Q12" s="103" t="n"/>
      <c r="R12" s="103" t="n"/>
      <c r="S12" s="55" t="n"/>
      <c r="T12" s="55" t="n"/>
      <c r="U12" s="55" t="n"/>
      <c r="V12" s="55" t="n"/>
    </row>
    <row r="13" ht="45" customHeight="1" s="37">
      <c r="A13" s="56" t="inlineStr">
        <is>
          <t>Struttura ballast tetto piano, inclinazione 35° — n.76 pannelli</t>
        </is>
      </c>
      <c r="B13" s="88" t="inlineStr">
        <is>
          <t>Schletter / K2 / Aerocompact</t>
        </is>
      </c>
      <c r="C13" s="58" t="inlineStr">
        <is>
          <t>Profili alluminio anodizzato, supporti acciaio zincato, inclinazione 35°, zavorra blocchi cls prefabbricati (no foratura copertura). Certificata carichi vento zona padana (EN 1991-1-4) e neve Zona I. NOTA: accesso copertura con scala permanente (esistente) — materiali saliti con tiraggio manuale, NO ponteggio. Pitch inter-fila 4,0m → area occupata 342 m² su ~580 m² disponibili.</t>
        </is>
      </c>
      <c r="D13" s="59" t="n">
        <v>1</v>
      </c>
      <c r="E13" s="60" t="n">
        <v>2100</v>
      </c>
      <c r="F13" s="60">
        <f>D13*E13</f>
        <v/>
      </c>
      <c r="G13" s="61" t="n">
        <v>0</v>
      </c>
      <c r="H13" s="60">
        <f>F13*(1-G13)</f>
        <v/>
      </c>
      <c r="I13" s="62" t="n">
        <v>0.04</v>
      </c>
      <c r="J13" s="60">
        <f>H13*I13</f>
        <v/>
      </c>
      <c r="K13" s="62" t="n">
        <v>0.22</v>
      </c>
      <c r="L13" s="60">
        <f>(H13+J13)*K13</f>
        <v/>
      </c>
      <c r="M13" s="62" t="n">
        <v>0.22</v>
      </c>
      <c r="N13" s="60">
        <f>(H13+J13+L13)*M13</f>
        <v/>
      </c>
      <c r="O13" s="60">
        <f>H13+J13+L13+N13</f>
        <v/>
      </c>
      <c r="P13" s="63" t="n">
        <v>0.1</v>
      </c>
      <c r="Q13" s="64">
        <f>O13*P13</f>
        <v/>
      </c>
      <c r="R13" s="96">
        <f>O13+Q13</f>
        <v/>
      </c>
      <c r="S13" s="66" t="inlineStr">
        <is>
          <t>〰️ stima — include bulloneria e zavorra. Verifica strutturale copertura necessaria (carico aggiuntivo ~15 kg/m²)</t>
        </is>
      </c>
      <c r="T13" s="106">
        <f>L13/52</f>
        <v/>
      </c>
      <c r="U13" s="106">
        <f>T13/2</f>
        <v/>
      </c>
      <c r="V13" s="106">
        <f>U13/8</f>
        <v/>
      </c>
    </row>
    <row r="14" ht="12.95" customHeight="1" s="37">
      <c r="A14" s="103" t="inlineStr">
        <is>
          <t xml:space="preserve">  CABLAGGIO DC / AC / MESSA A TERRA</t>
        </is>
      </c>
      <c r="B14" s="103" t="n"/>
      <c r="C14" s="103" t="n"/>
      <c r="D14" s="103" t="n"/>
      <c r="E14" s="103" t="n"/>
      <c r="F14" s="103" t="n"/>
      <c r="G14" s="103" t="n"/>
      <c r="H14" s="103" t="n"/>
      <c r="I14" s="103" t="n"/>
      <c r="J14" s="103" t="n"/>
      <c r="K14" s="103" t="n"/>
      <c r="L14" s="103" t="n"/>
      <c r="M14" s="103" t="n"/>
      <c r="N14" s="103" t="n"/>
      <c r="O14" s="103" t="n"/>
      <c r="P14" s="103" t="n"/>
      <c r="Q14" s="103" t="n"/>
      <c r="R14" s="103" t="n"/>
      <c r="S14" s="55" t="n"/>
      <c r="T14" s="55" t="n"/>
      <c r="U14" s="55" t="n"/>
      <c r="V14" s="55" t="n"/>
    </row>
    <row r="15" ht="36" customHeight="1" s="37">
      <c r="A15" s="56" t="inlineStr">
        <is>
          <t>Cavi DC 4mm² 1.800V doppio isolamento UV-resist.</t>
        </is>
      </c>
      <c r="B15" s="57" t="n"/>
      <c r="C15" s="58" t="inlineStr">
        <is>
          <t>Cavi unipolari +/− dalle stringhe all'inverter, connettori MC4, passaggi stagni copertura, protezione meccanica.</t>
        </is>
      </c>
      <c r="D15" s="59" t="n">
        <v>1</v>
      </c>
      <c r="E15" s="60" t="n">
        <v>830</v>
      </c>
      <c r="F15" s="60">
        <f>D15*E15</f>
        <v/>
      </c>
      <c r="G15" s="61" t="n">
        <v>0</v>
      </c>
      <c r="H15" s="60">
        <f>F15*(1-G15)</f>
        <v/>
      </c>
      <c r="I15" s="62" t="n">
        <v>0.07000000000000001</v>
      </c>
      <c r="J15" s="60">
        <f>H15*I15</f>
        <v/>
      </c>
      <c r="K15" s="62" t="n">
        <v>0.28</v>
      </c>
      <c r="L15" s="60">
        <f>(H15+J15)*K15</f>
        <v/>
      </c>
      <c r="M15" s="62" t="n">
        <v>0.22</v>
      </c>
      <c r="N15" s="60">
        <f>(H15+J15+L15)*M15</f>
        <v/>
      </c>
      <c r="O15" s="60">
        <f>H15+J15+L15+N15</f>
        <v/>
      </c>
      <c r="P15" s="63" t="n">
        <v>0.1</v>
      </c>
      <c r="Q15" s="64">
        <f>O15*P15</f>
        <v/>
      </c>
      <c r="R15" s="96">
        <f>O15+Q15</f>
        <v/>
      </c>
      <c r="S15" s="66" t="inlineStr">
        <is>
          <t>〰️ stima</t>
        </is>
      </c>
      <c r="T15" s="106">
        <f>L15/52</f>
        <v/>
      </c>
      <c r="U15" s="106">
        <f>T15/2</f>
        <v/>
      </c>
      <c r="V15" s="106">
        <f>U15/8</f>
        <v/>
      </c>
    </row>
    <row r="16" ht="36" customHeight="1" s="37">
      <c r="A16" s="68" t="inlineStr">
        <is>
          <t>Protezioni lato DC: scatole stringa + fusibili + sezionatore</t>
        </is>
      </c>
      <c r="B16" s="69" t="n"/>
      <c r="C16" s="70" t="inlineStr">
        <is>
          <t>Box stringa IP65 per ogni stringa, fusibili 15A per polo, sezionatore DC 4P, SPD Classe II DC.</t>
        </is>
      </c>
      <c r="D16" s="71" t="n">
        <v>1</v>
      </c>
      <c r="E16" s="72" t="n">
        <v>480</v>
      </c>
      <c r="F16" s="72">
        <f>D16*E16</f>
        <v/>
      </c>
      <c r="G16" s="73" t="n">
        <v>0</v>
      </c>
      <c r="H16" s="72">
        <f>F16*(1-G16)</f>
        <v/>
      </c>
      <c r="I16" s="62" t="n">
        <v>0.07000000000000001</v>
      </c>
      <c r="J16" s="72">
        <f>H16*I16</f>
        <v/>
      </c>
      <c r="K16" s="62" t="n">
        <v>0.28</v>
      </c>
      <c r="L16" s="72">
        <f>(H16+J16)*K16</f>
        <v/>
      </c>
      <c r="M16" s="62" t="n">
        <v>0.22</v>
      </c>
      <c r="N16" s="72">
        <f>(H16+J16+L16)*M16</f>
        <v/>
      </c>
      <c r="O16" s="72">
        <f>H16+J16+L16+N16</f>
        <v/>
      </c>
      <c r="P16" s="63" t="n">
        <v>0.1</v>
      </c>
      <c r="Q16" s="74">
        <f>O16*P16</f>
        <v/>
      </c>
      <c r="R16" s="96">
        <f>O16+Q16</f>
        <v/>
      </c>
      <c r="S16" s="75" t="inlineStr">
        <is>
          <t>〰️ stima</t>
        </is>
      </c>
      <c r="T16" s="107">
        <f>L16/52</f>
        <v/>
      </c>
      <c r="U16" s="107">
        <f>T16/2</f>
        <v/>
      </c>
      <c r="V16" s="107">
        <f>U16/8</f>
        <v/>
      </c>
    </row>
    <row r="17" ht="36" customHeight="1" s="37">
      <c r="A17" s="56" t="inlineStr">
        <is>
          <t>Cavo AC trifase inverter → quadro AC</t>
        </is>
      </c>
      <c r="B17" s="57" t="n"/>
      <c r="C17" s="58" t="inlineStr">
        <is>
          <t>FG7OR 5G10mm² (stima 30m copertura→QE), conduit staffato.</t>
        </is>
      </c>
      <c r="D17" s="59" t="n">
        <v>1</v>
      </c>
      <c r="E17" s="60" t="n">
        <v>400</v>
      </c>
      <c r="F17" s="60">
        <f>D17*E17</f>
        <v/>
      </c>
      <c r="G17" s="61" t="n">
        <v>0</v>
      </c>
      <c r="H17" s="60">
        <f>F17*(1-G17)</f>
        <v/>
      </c>
      <c r="I17" s="62" t="n">
        <v>0.07000000000000001</v>
      </c>
      <c r="J17" s="60">
        <f>H17*I17</f>
        <v/>
      </c>
      <c r="K17" s="62" t="n">
        <v>0.28</v>
      </c>
      <c r="L17" s="60">
        <f>(H17+J17)*K17</f>
        <v/>
      </c>
      <c r="M17" s="62" t="n">
        <v>0.22</v>
      </c>
      <c r="N17" s="60">
        <f>(H17+J17+L17)*M17</f>
        <v/>
      </c>
      <c r="O17" s="60">
        <f>H17+J17+L17+N17</f>
        <v/>
      </c>
      <c r="P17" s="63" t="n">
        <v>0.1</v>
      </c>
      <c r="Q17" s="64">
        <f>O17*P17</f>
        <v/>
      </c>
      <c r="R17" s="96">
        <f>O17+Q17</f>
        <v/>
      </c>
      <c r="S17" s="66" t="inlineStr">
        <is>
          <t>〰️ stima</t>
        </is>
      </c>
      <c r="T17" s="106">
        <f>L17/52</f>
        <v/>
      </c>
      <c r="U17" s="106">
        <f>T17/2</f>
        <v/>
      </c>
      <c r="V17" s="106">
        <f>U17/8</f>
        <v/>
      </c>
    </row>
    <row r="18" ht="36" customHeight="1" s="37">
      <c r="A18" s="68" t="inlineStr">
        <is>
          <t>Messa a terra strutture FV + equipotenziale</t>
        </is>
      </c>
      <c r="B18" s="69" t="n"/>
      <c r="C18" s="70" t="inlineStr">
        <is>
          <t>Anello equipotenziale strutture metalliche, picchetto dispersore dedicato.</t>
        </is>
      </c>
      <c r="D18" s="71" t="n">
        <v>1</v>
      </c>
      <c r="E18" s="72" t="n">
        <v>230</v>
      </c>
      <c r="F18" s="72">
        <f>D18*E18</f>
        <v/>
      </c>
      <c r="G18" s="73" t="n">
        <v>0</v>
      </c>
      <c r="H18" s="72">
        <f>F18*(1-G18)</f>
        <v/>
      </c>
      <c r="I18" s="62" t="n">
        <v>0.07000000000000001</v>
      </c>
      <c r="J18" s="72">
        <f>H18*I18</f>
        <v/>
      </c>
      <c r="K18" s="62" t="n">
        <v>0.28</v>
      </c>
      <c r="L18" s="72">
        <f>(H18+J18)*K18</f>
        <v/>
      </c>
      <c r="M18" s="62" t="n">
        <v>0.22</v>
      </c>
      <c r="N18" s="72">
        <f>(H18+J18+L18)*M18</f>
        <v/>
      </c>
      <c r="O18" s="72">
        <f>H18+J18+L18+N18</f>
        <v/>
      </c>
      <c r="P18" s="63" t="n">
        <v>0.1</v>
      </c>
      <c r="Q18" s="74">
        <f>O18*P18</f>
        <v/>
      </c>
      <c r="R18" s="96">
        <f>O18+Q18</f>
        <v/>
      </c>
      <c r="S18" s="75" t="inlineStr">
        <is>
          <t>〰️ stima</t>
        </is>
      </c>
      <c r="T18" s="107">
        <f>L18/52</f>
        <v/>
      </c>
      <c r="U18" s="107">
        <f>T18/2</f>
        <v/>
      </c>
      <c r="V18" s="107">
        <f>U18/8</f>
        <v/>
      </c>
    </row>
    <row r="19" ht="36" customHeight="1" s="37">
      <c r="A19" s="56" t="inlineStr">
        <is>
          <t>Conduit, passaggi copertura stagni, staffaggi</t>
        </is>
      </c>
      <c r="B19" s="57" t="n"/>
      <c r="C19" s="58" t="inlineStr">
        <is>
          <t>Conduit corrugato UV-resist. in copertura, passaggi parete/copertura stagni, fascette inox, supporti cavo su struttura.</t>
        </is>
      </c>
      <c r="D19" s="59" t="n">
        <v>1</v>
      </c>
      <c r="E19" s="60" t="n">
        <v>440</v>
      </c>
      <c r="F19" s="60">
        <f>D19*E19</f>
        <v/>
      </c>
      <c r="G19" s="61" t="n">
        <v>0</v>
      </c>
      <c r="H19" s="60">
        <f>F19*(1-G19)</f>
        <v/>
      </c>
      <c r="I19" s="62" t="n">
        <v>0.07000000000000001</v>
      </c>
      <c r="J19" s="60">
        <f>H19*I19</f>
        <v/>
      </c>
      <c r="K19" s="62" t="n">
        <v>0.28</v>
      </c>
      <c r="L19" s="60">
        <f>(H19+J19)*K19</f>
        <v/>
      </c>
      <c r="M19" s="62" t="n">
        <v>0.22</v>
      </c>
      <c r="N19" s="60">
        <f>(H19+J19+L19)*M19</f>
        <v/>
      </c>
      <c r="O19" s="60">
        <f>H19+J19+L19+N19</f>
        <v/>
      </c>
      <c r="P19" s="63" t="n">
        <v>0.1</v>
      </c>
      <c r="Q19" s="64">
        <f>O19*P19</f>
        <v/>
      </c>
      <c r="R19" s="96">
        <f>O19+Q19</f>
        <v/>
      </c>
      <c r="S19" s="66" t="inlineStr">
        <is>
          <t>〰️ stima</t>
        </is>
      </c>
      <c r="T19" s="106">
        <f>L19/52</f>
        <v/>
      </c>
      <c r="U19" s="106">
        <f>T19/2</f>
        <v/>
      </c>
      <c r="V19" s="106">
        <f>U19/8</f>
        <v/>
      </c>
    </row>
    <row r="20" ht="12.95" customHeight="1" s="37">
      <c r="A20" s="103" t="inlineStr">
        <is>
          <t xml:space="preserve">  PREDISPOSIZIONE ACCUMULO</t>
        </is>
      </c>
      <c r="B20" s="103" t="n"/>
      <c r="C20" s="103" t="n"/>
      <c r="D20" s="103" t="n"/>
      <c r="E20" s="103" t="n"/>
      <c r="F20" s="103" t="n"/>
      <c r="G20" s="103" t="n"/>
      <c r="H20" s="103" t="n"/>
      <c r="I20" s="103" t="n"/>
      <c r="J20" s="103" t="n"/>
      <c r="K20" s="103" t="n"/>
      <c r="L20" s="103" t="n"/>
      <c r="M20" s="103" t="n"/>
      <c r="N20" s="103" t="n"/>
      <c r="O20" s="103" t="n"/>
      <c r="P20" s="103" t="n"/>
      <c r="Q20" s="103" t="n"/>
      <c r="R20" s="103" t="n"/>
      <c r="S20" s="55" t="n"/>
      <c r="T20" s="55" t="n"/>
      <c r="U20" s="55" t="n"/>
      <c r="V20" s="55" t="n"/>
    </row>
    <row r="21" ht="36" customHeight="1" s="37">
      <c r="A21" s="77" t="inlineStr">
        <is>
          <t>Predisposizione accumulo batterie DC-coupled</t>
        </is>
      </c>
      <c r="B21" s="57" t="n"/>
      <c r="C21" s="58" t="inlineStr">
        <is>
          <t>Cavi DC dall'inverter ibrido al vano batteria (stima 5m), morsettiera dedicata etichettata, spazio riservato armadio inverter. BATTERIA NON INCLUSA</t>
        </is>
      </c>
      <c r="D21" s="59" t="n">
        <v>1</v>
      </c>
      <c r="E21" s="60" t="n">
        <v>290</v>
      </c>
      <c r="F21" s="60">
        <f>D21*E21</f>
        <v/>
      </c>
      <c r="G21" s="61" t="n">
        <v>0</v>
      </c>
      <c r="H21" s="60">
        <f>F21*(1-G21)</f>
        <v/>
      </c>
      <c r="I21" s="62" t="n">
        <v>0.07000000000000001</v>
      </c>
      <c r="J21" s="60">
        <f>H21*I21</f>
        <v/>
      </c>
      <c r="K21" s="62" t="n">
        <v>0.28</v>
      </c>
      <c r="L21" s="60">
        <f>(H21+J21)*K21</f>
        <v/>
      </c>
      <c r="M21" s="62" t="n">
        <v>0.22</v>
      </c>
      <c r="N21" s="60">
        <f>(H21+J21+L21)*M21</f>
        <v/>
      </c>
      <c r="O21" s="60">
        <f>H21+J21+L21+N21</f>
        <v/>
      </c>
      <c r="P21" s="63" t="n">
        <v>0.1</v>
      </c>
      <c r="Q21" s="64">
        <f>O21*P21</f>
        <v/>
      </c>
      <c r="R21" s="96">
        <f>O21+Q21</f>
        <v/>
      </c>
      <c r="S21" s="66" t="inlineStr">
        <is>
          <t>✅ investimento minimo per opzionalità futura</t>
        </is>
      </c>
      <c r="T21" s="106">
        <f>L21/52</f>
        <v/>
      </c>
      <c r="U21" s="106">
        <f>T21/2</f>
        <v/>
      </c>
      <c r="V21" s="106">
        <f>U21/8</f>
        <v/>
      </c>
    </row>
    <row r="22" ht="12.95" customHeight="1" s="37">
      <c r="A22" s="103" t="inlineStr">
        <is>
          <t xml:space="preserve">  TRASPORTO</t>
        </is>
      </c>
      <c r="B22" s="103" t="n"/>
      <c r="C22" s="103" t="n"/>
      <c r="D22" s="103" t="n"/>
      <c r="E22" s="103" t="n"/>
      <c r="F22" s="103" t="n"/>
      <c r="G22" s="103" t="n"/>
      <c r="H22" s="103" t="n"/>
      <c r="I22" s="103" t="n"/>
      <c r="J22" s="103" t="n"/>
      <c r="K22" s="103" t="n"/>
      <c r="L22" s="103" t="n"/>
      <c r="M22" s="103" t="n"/>
      <c r="N22" s="103" t="n"/>
      <c r="O22" s="103" t="n"/>
      <c r="P22" s="103" t="n"/>
      <c r="Q22" s="103" t="n"/>
      <c r="R22" s="103" t="n"/>
      <c r="S22" s="55" t="n"/>
      <c r="T22" s="55" t="n"/>
      <c r="U22" s="55" t="n"/>
      <c r="V22" s="55" t="n"/>
    </row>
    <row r="23" ht="36" customHeight="1" s="37" thickBot="1">
      <c r="A23" s="56" t="inlineStr">
        <is>
          <t>Trasporto materiali FV (pannelli + inverter + struttura)</t>
        </is>
      </c>
      <c r="B23" s="57" t="n"/>
      <c r="C23" s="58" t="n"/>
      <c r="D23" s="59" t="n">
        <v>1</v>
      </c>
      <c r="E23" s="60" t="n">
        <v>418</v>
      </c>
      <c r="F23" s="60">
        <f>D23*E23</f>
        <v/>
      </c>
      <c r="G23" s="61" t="n">
        <v>0</v>
      </c>
      <c r="H23" s="60">
        <f>F23*(1-G23)</f>
        <v/>
      </c>
      <c r="I23" s="62" t="n">
        <v>0</v>
      </c>
      <c r="J23" s="60" t="n">
        <v>0</v>
      </c>
      <c r="K23" s="62" t="n">
        <v>0</v>
      </c>
      <c r="L23" s="60" t="n">
        <v>0</v>
      </c>
      <c r="M23" s="62" t="n">
        <v>0.12</v>
      </c>
      <c r="N23" s="60">
        <f>H23*M23</f>
        <v/>
      </c>
      <c r="O23" s="60">
        <f>H23+N23</f>
        <v/>
      </c>
      <c r="P23" s="63" t="n">
        <v>0</v>
      </c>
      <c r="Q23" s="64">
        <f>O23*P23</f>
        <v/>
      </c>
      <c r="R23" s="96">
        <f>O23+Q23</f>
        <v/>
      </c>
      <c r="S23" s="66" t="inlineStr">
        <is>
          <t>〰️ stima proporzionale</t>
        </is>
      </c>
      <c r="T23" s="106" t="n">
        <v>0</v>
      </c>
      <c r="U23" s="106" t="n">
        <v>0</v>
      </c>
      <c r="V23" s="106" t="n">
        <v>0</v>
      </c>
    </row>
    <row r="24" ht="15" customHeight="1" s="37" thickBot="1">
      <c r="A24" s="89" t="inlineStr">
        <is>
          <t xml:space="preserve">  SUBTOTALE LAVORI — IVA esclusa</t>
        </is>
      </c>
      <c r="B24" s="89">
        <f>A5</f>
        <v/>
      </c>
      <c r="C24" s="89" t="n"/>
      <c r="D24" s="89" t="n"/>
      <c r="E24" s="89" t="n"/>
      <c r="F24" s="89" t="n"/>
      <c r="G24" s="89" t="n"/>
      <c r="H24" s="89" t="n"/>
      <c r="I24" s="89" t="n"/>
      <c r="J24" s="89" t="n"/>
      <c r="K24" s="89" t="n"/>
      <c r="L24" s="89" t="n"/>
      <c r="M24" s="89" t="n"/>
      <c r="N24" s="89" t="n"/>
      <c r="O24" s="89" t="n"/>
      <c r="P24" s="89" t="n"/>
      <c r="Q24" s="89" t="n"/>
      <c r="R24" s="97">
        <f>SUM(R7:R23)</f>
        <v/>
      </c>
      <c r="S24" s="108" t="n"/>
      <c r="T24" s="108">
        <f>SUM(T7:T23)</f>
        <v/>
      </c>
      <c r="U24" s="108">
        <f>SUM(U7:U23)</f>
        <v/>
      </c>
      <c r="V24" s="108">
        <f>SUM(V7:V23)</f>
        <v/>
      </c>
    </row>
    <row r="25" ht="30" customHeight="1" s="37">
      <c r="A25" s="84" t="inlineStr">
        <is>
          <t xml:space="preserve">  ━━━━━━  SEZIONE 2 - PDC IDRONICA  ━━━━━━</t>
        </is>
      </c>
      <c r="S25" s="85" t="n"/>
      <c r="T25" s="85" t="n"/>
      <c r="U25" s="85" t="n"/>
      <c r="V25" s="85" t="n"/>
    </row>
    <row r="26" ht="12.95" customHeight="1" s="37">
      <c r="A26" s="104" t="inlineStr">
        <is>
          <t xml:space="preserve">  DEMOLIZIONE E SMALTIMENTO — CENTRALE TERMICA</t>
        </is>
      </c>
      <c r="B26" s="104" t="n"/>
      <c r="C26" s="104" t="n"/>
      <c r="D26" s="104" t="n"/>
      <c r="E26" s="104" t="n"/>
      <c r="F26" s="104" t="n"/>
      <c r="G26" s="104" t="n"/>
      <c r="H26" s="104" t="n"/>
      <c r="I26" s="104" t="n"/>
      <c r="J26" s="104" t="n"/>
      <c r="K26" s="104" t="n"/>
      <c r="L26" s="104" t="n"/>
      <c r="M26" s="104" t="n"/>
      <c r="N26" s="104" t="n"/>
      <c r="O26" s="104" t="n"/>
      <c r="P26" s="104" t="n"/>
      <c r="Q26" s="104" t="n"/>
      <c r="R26" s="104" t="n"/>
      <c r="S26" s="87" t="n"/>
      <c r="T26" s="87" t="n"/>
      <c r="U26" s="87" t="n"/>
      <c r="V26" s="87" t="n"/>
    </row>
    <row r="27" ht="36" customHeight="1" s="37">
      <c r="A27" s="56" t="inlineStr">
        <is>
          <t>Smontaggio e rottamazione n.2 caldaie Baltur PERFECTA 35 RK</t>
        </is>
      </c>
      <c r="B27" s="57" t="n"/>
      <c r="C27" s="58" t="inlineStr">
        <is>
          <t>Smontaggio meccanico, disconnessione idraulica e gas; rottamazione (nessun F-gas nelle caldaie). Ripristino raccordi, tappatura linea gas a monte del rubinetto in C.T.</t>
        </is>
      </c>
      <c r="D27" s="59" t="n">
        <v>1</v>
      </c>
      <c r="E27" s="60" t="n">
        <v>600</v>
      </c>
      <c r="F27" s="60">
        <f>D27*E27</f>
        <v/>
      </c>
      <c r="G27" s="61" t="n">
        <v>0</v>
      </c>
      <c r="H27" s="60">
        <f>F27*(1-G27)</f>
        <v/>
      </c>
      <c r="I27" s="62" t="n">
        <v>0.05</v>
      </c>
      <c r="J27" s="60">
        <f>H27*I27</f>
        <v/>
      </c>
      <c r="K27" s="62" t="n">
        <v>0.55</v>
      </c>
      <c r="L27" s="60">
        <f>(H27+J27)*K27</f>
        <v/>
      </c>
      <c r="M27" s="62" t="n">
        <v>0.25</v>
      </c>
      <c r="N27" s="60">
        <f>(H27+J27+L27)*M27</f>
        <v/>
      </c>
      <c r="O27" s="60">
        <f>H27+J27+L27+N27</f>
        <v/>
      </c>
      <c r="P27" s="63" t="n">
        <v>0.1</v>
      </c>
      <c r="Q27" s="64">
        <f>O27*P27</f>
        <v/>
      </c>
      <c r="R27" s="96">
        <f>O27+Q27</f>
        <v/>
      </c>
      <c r="S27" s="66" t="inlineStr">
        <is>
          <t>〰️ stima a corpo — nessun costo F-Gas (caldaie a combustione)</t>
        </is>
      </c>
      <c r="T27" s="106">
        <f>L27/52</f>
        <v/>
      </c>
      <c r="U27" s="106">
        <f>T27/2</f>
        <v/>
      </c>
      <c r="V27" s="106">
        <f>U27/8</f>
        <v/>
      </c>
    </row>
    <row r="28" ht="36" customHeight="1" s="37">
      <c r="A28" s="105" t="inlineStr">
        <is>
          <t>Smontaggio e rottamazione n.2 circolatori gemellari Wilo TOP-SD esistenti</t>
        </is>
      </c>
      <c r="B28" s="69" t="inlineStr">
        <is>
          <t>Wilo TOP-SD 32/7 + TOP-SD 50/10</t>
        </is>
      </c>
      <c r="C28" s="70" t="inlineStr">
        <is>
          <t>Smontaggio n.2 unità gemellari (1 girante attiva + 1 stand-by per unità), come da rilievo fotografico. Motori trifase a gradini (non EC): incompatibili con il controllo inverter della PDC e ad alta inefficienza. Rottamazione RAEE.</t>
        </is>
      </c>
      <c r="D28" s="71" t="n">
        <v>1</v>
      </c>
      <c r="E28" s="72" t="n">
        <v>250</v>
      </c>
      <c r="F28" s="72">
        <f>D28*E28</f>
        <v/>
      </c>
      <c r="G28" s="73" t="n">
        <v>0</v>
      </c>
      <c r="H28" s="72">
        <f>F28*(1-G28)</f>
        <v/>
      </c>
      <c r="I28" s="62" t="n">
        <v>0.05</v>
      </c>
      <c r="J28" s="72">
        <f>H28*I28</f>
        <v/>
      </c>
      <c r="K28" s="62" t="n">
        <v>0.55</v>
      </c>
      <c r="L28" s="72">
        <f>(H28+J28)*K28</f>
        <v/>
      </c>
      <c r="M28" s="62" t="n">
        <v>0.25</v>
      </c>
      <c r="N28" s="72">
        <f>(H28+J28+L28)*M28</f>
        <v/>
      </c>
      <c r="O28" s="72">
        <f>H28+J28+L28+N28</f>
        <v/>
      </c>
      <c r="P28" s="63" t="n">
        <v>0.1</v>
      </c>
      <c r="Q28" s="74">
        <f>O28*P28</f>
        <v/>
      </c>
      <c r="R28" s="96">
        <f>O28+Q28</f>
        <v/>
      </c>
      <c r="S28" s="75" t="inlineStr">
        <is>
          <t>✅ identificati da foto: TOP-SD 32/7 + TOP-SD 50/10 gemellari</t>
        </is>
      </c>
      <c r="T28" s="107">
        <f>L28/52</f>
        <v/>
      </c>
      <c r="U28" s="107">
        <f>T28/2</f>
        <v/>
      </c>
      <c r="V28" s="107">
        <f>U28/8</f>
        <v/>
      </c>
    </row>
    <row r="29" ht="36" customHeight="1" s="37">
      <c r="A29" s="56" t="inlineStr">
        <is>
          <t>Smontaggio totale tubazioni, valvole, coibentazione esistente in C.T.</t>
        </is>
      </c>
      <c r="B29" s="57" t="n"/>
      <c r="C29" s="58" t="inlineStr">
        <is>
          <t>Tubo ferro verniciato rosso esistente (diametri vari DN32÷DN50÷DN65 stimati), valvole a sfera e di ritegno, staffaggi, vaso espansione, coibentazione. Smaltimento come ferraglia + RAEE dove applicabile. ASSUNZIONE: impianto secondario nei locali (manifold radiante + tubazioni) ESCLUSO — nuovo e tenuto.</t>
        </is>
      </c>
      <c r="D29" s="59" t="n">
        <v>1</v>
      </c>
      <c r="E29" s="60" t="n">
        <v>800</v>
      </c>
      <c r="F29" s="60">
        <f>D29*E29</f>
        <v/>
      </c>
      <c r="G29" s="61" t="n">
        <v>0</v>
      </c>
      <c r="H29" s="60">
        <f>F29*(1-G29)</f>
        <v/>
      </c>
      <c r="I29" s="62" t="n">
        <v>0.05</v>
      </c>
      <c r="J29" s="60">
        <f>H29*I29</f>
        <v/>
      </c>
      <c r="K29" s="62" t="n">
        <v>0.55</v>
      </c>
      <c r="L29" s="60">
        <f>(H29+J29)*K29</f>
        <v/>
      </c>
      <c r="M29" s="62" t="n">
        <v>0.25</v>
      </c>
      <c r="N29" s="60">
        <f>(H29+J29+L29)*M29</f>
        <v/>
      </c>
      <c r="O29" s="60">
        <f>H29+J29+L29+N29</f>
        <v/>
      </c>
      <c r="P29" s="63" t="n">
        <v>0.1</v>
      </c>
      <c r="Q29" s="64">
        <f>O29*P29</f>
        <v/>
      </c>
      <c r="R29" s="96">
        <f>O29+Q29</f>
        <v/>
      </c>
      <c r="S29" s="66" t="inlineStr">
        <is>
          <t>〰️ stima a corpo demolizione C.T. completa</t>
        </is>
      </c>
      <c r="T29" s="106">
        <f>L29/52</f>
        <v/>
      </c>
      <c r="U29" s="106">
        <f>T29/2</f>
        <v/>
      </c>
      <c r="V29" s="106">
        <f>U29/8</f>
        <v/>
      </c>
    </row>
    <row r="30" ht="12.95" customHeight="1" s="37">
      <c r="A30" s="103" t="inlineStr">
        <is>
          <t xml:space="preserve">  FORNITURA PDC</t>
        </is>
      </c>
      <c r="B30" s="103" t="n"/>
      <c r="C30" s="103" t="n"/>
      <c r="D30" s="103" t="n"/>
      <c r="E30" s="103" t="n"/>
      <c r="F30" s="103" t="n"/>
      <c r="G30" s="103" t="n"/>
      <c r="H30" s="103" t="n"/>
      <c r="I30" s="103" t="n"/>
      <c r="J30" s="103" t="n"/>
      <c r="K30" s="103" t="n"/>
      <c r="L30" s="103" t="n"/>
      <c r="M30" s="103" t="n"/>
      <c r="N30" s="103" t="n"/>
      <c r="O30" s="103" t="n"/>
      <c r="P30" s="103" t="n"/>
      <c r="Q30" s="103" t="n"/>
      <c r="R30" s="103" t="n"/>
      <c r="S30" s="55" t="n"/>
      <c r="T30" s="55" t="n"/>
      <c r="U30" s="55" t="n"/>
      <c r="V30" s="55" t="n"/>
    </row>
    <row r="31" ht="36" customHeight="1" s="37">
      <c r="A31" s="77" t="inlineStr">
        <is>
          <t>THAITI 122 P0 — ElectaMAXI-ECO</t>
        </is>
      </c>
      <c r="B31" s="57" t="inlineStr">
        <is>
          <t>RHOSS</t>
        </is>
      </c>
      <c r="C31" s="58" t="inlineStr">
        <is>
          <t>PDC reversibile monoblocco R32 DC inverter, modulo idraulico integrato con circolatore EC primario, Pdesignh 29 kW EN14825 / SCOP 4,53 BT 35°C / A+++ — Coppia M/S: Pdesignh_tot 44 kW — copertura carico eff. 28 kW@−5°C con margine. Include KSA antivibranti.</t>
        </is>
      </c>
      <c r="D31" s="59" t="n">
        <v>2</v>
      </c>
      <c r="E31" s="60" t="n">
        <v>8500</v>
      </c>
      <c r="F31" s="60">
        <f>D31*E31</f>
        <v/>
      </c>
      <c r="G31" s="61" t="n">
        <v>0</v>
      </c>
      <c r="H31" s="60">
        <f>F31*(1-G31)</f>
        <v/>
      </c>
      <c r="I31" s="62" t="n">
        <v>0.02</v>
      </c>
      <c r="J31" s="60">
        <f>H31*I31</f>
        <v/>
      </c>
      <c r="K31" s="62" t="n">
        <v>0.04</v>
      </c>
      <c r="L31" s="60">
        <f>(H31+J31)*K31</f>
        <v/>
      </c>
      <c r="M31" s="62" t="n">
        <v>0.28</v>
      </c>
      <c r="N31" s="60">
        <f>(H31+J31+L31)*M31</f>
        <v/>
      </c>
      <c r="O31" s="60">
        <f>H31+J31+L31+N31</f>
        <v/>
      </c>
      <c r="P31" s="63" t="n">
        <v>0.1</v>
      </c>
      <c r="Q31" s="64">
        <f>O31*P31</f>
        <v/>
      </c>
      <c r="R31" s="96">
        <f>O31+Q31</f>
        <v/>
      </c>
      <c r="S31" s="66" t="inlineStr">
        <is>
          <t>⚠️ prezzo interpolato (THAITI 118=7.590 €, THAITI 130=9.456 €) — richiedere conferma</t>
        </is>
      </c>
      <c r="T31" s="106">
        <f>L31/52</f>
        <v/>
      </c>
      <c r="U31" s="106">
        <f>T31/2</f>
        <v/>
      </c>
      <c r="V31" s="106">
        <f>U31/8</f>
        <v/>
      </c>
    </row>
    <row r="32" ht="36" customHeight="1" s="37">
      <c r="A32" s="105" t="inlineStr">
        <is>
          <t>PRIMO AVVIAMENTO — obbligatorio garanzia 24 mesi</t>
        </is>
      </c>
      <c r="B32" s="69" t="inlineStr">
        <is>
          <t>Tecnico autorizzato RHOSS</t>
        </is>
      </c>
      <c r="C32" s="70" t="inlineStr">
        <is>
          <t>Verifica parametri, taratura, registrazione garanzia. Garanzia decorre da data avviamento (max 30 mesi da consegna).</t>
        </is>
      </c>
      <c r="D32" s="71" t="n">
        <v>2</v>
      </c>
      <c r="E32" s="72" t="n">
        <v>231.6</v>
      </c>
      <c r="F32" s="72">
        <f>D32*E32</f>
        <v/>
      </c>
      <c r="G32" s="73" t="n">
        <v>0</v>
      </c>
      <c r="H32" s="72">
        <f>F32*(1-G32)</f>
        <v/>
      </c>
      <c r="I32" s="62" t="n">
        <v>0</v>
      </c>
      <c r="J32" s="72" t="n">
        <v>0</v>
      </c>
      <c r="K32" s="62" t="n">
        <v>0</v>
      </c>
      <c r="L32" s="72" t="n">
        <v>0</v>
      </c>
      <c r="M32" s="62" t="n">
        <v>0.15</v>
      </c>
      <c r="N32" s="72">
        <f>H32*M32</f>
        <v/>
      </c>
      <c r="O32" s="72">
        <f>H32+N32</f>
        <v/>
      </c>
      <c r="P32" s="63" t="n">
        <v>0</v>
      </c>
      <c r="Q32" s="74">
        <f>O32*P32</f>
        <v/>
      </c>
      <c r="R32" s="96">
        <f>O32+Q32</f>
        <v/>
      </c>
      <c r="S32" s="75" t="inlineStr">
        <is>
          <t>✅ da offerta formale Rhoss</t>
        </is>
      </c>
      <c r="T32" s="107" t="n">
        <v>0</v>
      </c>
      <c r="U32" s="107" t="n">
        <v>0</v>
      </c>
      <c r="V32" s="107" t="n">
        <v>0</v>
      </c>
    </row>
    <row r="33" ht="12.95" customHeight="1" s="37">
      <c r="A33" s="103" t="inlineStr">
        <is>
          <t xml:space="preserve">  DISGIUNTORE IDRAULICO E ACCESSORI RHOSS</t>
        </is>
      </c>
      <c r="B33" s="103" t="n"/>
      <c r="C33" s="103" t="n"/>
      <c r="D33" s="103" t="n"/>
      <c r="E33" s="103" t="n"/>
      <c r="F33" s="103" t="n"/>
      <c r="G33" s="103" t="n"/>
      <c r="H33" s="103" t="n"/>
      <c r="I33" s="103" t="n"/>
      <c r="J33" s="103" t="n"/>
      <c r="K33" s="103" t="n"/>
      <c r="L33" s="103" t="n"/>
      <c r="M33" s="103" t="n"/>
      <c r="N33" s="103" t="n"/>
      <c r="O33" s="103" t="n"/>
      <c r="P33" s="103" t="n"/>
      <c r="Q33" s="103" t="n"/>
      <c r="R33" s="103" t="n"/>
      <c r="S33" s="55" t="n"/>
      <c r="T33" s="55" t="n"/>
      <c r="U33" s="55" t="n"/>
      <c r="V33" s="55" t="n"/>
    </row>
    <row r="34" ht="36" customHeight="1" s="37">
      <c r="A34" s="56" t="inlineStr">
        <is>
          <t>KAI-110 — Serbatoio inerziale / disgiuntore idraulico</t>
        </is>
      </c>
      <c r="B34" s="57" t="inlineStr">
        <is>
          <t>RHOSS</t>
        </is>
      </c>
      <c r="C34" s="58" t="inlineStr">
        <is>
          <t>110 litri — disgiuntore idraulico primario (PDC) / secondario (distribuzione). Necessario con 2 PDC inverter M/S + più zone radianti: evita on/off frequenti del compressore inverter. Classe energetica A.</t>
        </is>
      </c>
      <c r="D34" s="59" t="n">
        <v>1</v>
      </c>
      <c r="E34" s="60" t="n">
        <v>720</v>
      </c>
      <c r="F34" s="60">
        <f>D34*E34</f>
        <v/>
      </c>
      <c r="G34" s="61" t="n">
        <v>0</v>
      </c>
      <c r="H34" s="60">
        <f>F34*(1-G34)</f>
        <v/>
      </c>
      <c r="I34" s="62" t="n">
        <v>0.05</v>
      </c>
      <c r="J34" s="60">
        <f>H34*I34</f>
        <v/>
      </c>
      <c r="K34" s="62" t="n">
        <v>0.15</v>
      </c>
      <c r="L34" s="60">
        <f>(H34+J34)*K34</f>
        <v/>
      </c>
      <c r="M34" s="62" t="n">
        <v>0.28</v>
      </c>
      <c r="N34" s="60">
        <f>(H34+J34+L34)*M34</f>
        <v/>
      </c>
      <c r="O34" s="60">
        <f>H34+J34+L34+N34</f>
        <v/>
      </c>
      <c r="P34" s="63" t="n">
        <v>0.1</v>
      </c>
      <c r="Q34" s="64">
        <f>O34*P34</f>
        <v/>
      </c>
      <c r="R34" s="96">
        <f>O34+Q34</f>
        <v/>
      </c>
      <c r="S34" s="66" t="inlineStr">
        <is>
          <t>〰️ stima da listino Rhoss — SCELTA PROGETTUALE: necessario in questa configurazione</t>
        </is>
      </c>
      <c r="T34" s="106">
        <f>L34/52</f>
        <v/>
      </c>
      <c r="U34" s="106">
        <f>T34/2</f>
        <v/>
      </c>
      <c r="V34" s="106">
        <f>U34/8</f>
        <v/>
      </c>
    </row>
    <row r="35" ht="36" customHeight="1" s="37">
      <c r="A35" s="68" t="inlineStr">
        <is>
          <t>KRIT — Resistenza elettrica integrativa</t>
        </is>
      </c>
      <c r="B35" s="69" t="inlineStr">
        <is>
          <t>RHOSS</t>
        </is>
      </c>
      <c r="C35" s="70" t="inlineStr">
        <is>
          <t>Integrazione per punte di carico sotto −5°C (stima ≤ 4% energia annua, ~80 ore/anno). Potenza da definire in esecutivo (indicativa 6÷9 kW).</t>
        </is>
      </c>
      <c r="D35" s="71" t="n">
        <v>1</v>
      </c>
      <c r="E35" s="72" t="n">
        <v>600</v>
      </c>
      <c r="F35" s="72">
        <f>D35*E35</f>
        <v/>
      </c>
      <c r="G35" s="73" t="n">
        <v>0</v>
      </c>
      <c r="H35" s="72">
        <f>F35*(1-G35)</f>
        <v/>
      </c>
      <c r="I35" s="62" t="n">
        <v>0.05</v>
      </c>
      <c r="J35" s="72">
        <f>H35*I35</f>
        <v/>
      </c>
      <c r="K35" s="62" t="n">
        <v>0.15</v>
      </c>
      <c r="L35" s="72">
        <f>(H35+J35)*K35</f>
        <v/>
      </c>
      <c r="M35" s="62" t="n">
        <v>0.28</v>
      </c>
      <c r="N35" s="72">
        <f>(H35+J35+L35)*M35</f>
        <v/>
      </c>
      <c r="O35" s="72">
        <f>H35+J35+L35+N35</f>
        <v/>
      </c>
      <c r="P35" s="63" t="n">
        <v>0.1</v>
      </c>
      <c r="Q35" s="74">
        <f>O35*P35</f>
        <v/>
      </c>
      <c r="R35" s="96">
        <f>O35+Q35</f>
        <v/>
      </c>
      <c r="S35" s="75" t="inlineStr">
        <is>
          <t>〰️ stima</t>
        </is>
      </c>
      <c r="T35" s="107">
        <f>L35/52</f>
        <v/>
      </c>
      <c r="U35" s="107">
        <f>T35/2</f>
        <v/>
      </c>
      <c r="V35" s="107">
        <f>U35/8</f>
        <v/>
      </c>
    </row>
    <row r="36" ht="12.95" customHeight="1" s="37">
      <c r="A36" s="103" t="inlineStr">
        <is>
          <t xml:space="preserve">  IMPIANTO IDRAULICO — RIFACIMENTO TOTALE CENTRALE TERMICA</t>
        </is>
      </c>
      <c r="B36" s="103" t="n"/>
      <c r="C36" s="103" t="n"/>
      <c r="D36" s="103" t="n"/>
      <c r="E36" s="103" t="n"/>
      <c r="F36" s="103" t="n"/>
      <c r="G36" s="103" t="n"/>
      <c r="H36" s="103" t="n"/>
      <c r="I36" s="103" t="n"/>
      <c r="J36" s="103" t="n"/>
      <c r="K36" s="103" t="n"/>
      <c r="L36" s="103" t="n"/>
      <c r="M36" s="103" t="n"/>
      <c r="N36" s="103" t="n"/>
      <c r="O36" s="103" t="n"/>
      <c r="P36" s="103" t="n"/>
      <c r="Q36" s="103" t="n"/>
      <c r="R36" s="103" t="n"/>
      <c r="S36" s="55" t="n"/>
      <c r="T36" s="55" t="n"/>
      <c r="U36" s="55" t="n"/>
      <c r="V36" s="55" t="n"/>
    </row>
    <row r="37" ht="36" customHeight="1" s="37">
      <c r="A37" s="56" t="inlineStr">
        <is>
          <t>Tubazioni acciaio nero saldato EN 10255 — rifacimento totale C.T.</t>
        </is>
      </c>
      <c r="B37" s="88" t="inlineStr">
        <is>
          <t>Tubo nero EN 10255 ser. M</t>
        </is>
      </c>
      <c r="C37" s="58" t="inlineStr">
        <is>
          <t>Rifacimento completo rete idraulica in C.T.: tubo acciaio nero saldato EN 10255 serie M, diametri DN32÷DN50÷DN65 come da progetto esecutivo. Include: taglio, filettatura o saldatura, raccorderia, staffaggi a muro, collaudo idraulico a 6 bar. Stima: ~30 m lineari totali in C.T.</t>
        </is>
      </c>
      <c r="D37" s="59" t="n">
        <v>1</v>
      </c>
      <c r="E37" s="60" t="n">
        <v>2800</v>
      </c>
      <c r="F37" s="60">
        <f>D37*E37</f>
        <v/>
      </c>
      <c r="G37" s="61" t="n">
        <v>0</v>
      </c>
      <c r="H37" s="60">
        <f>F37*(1-G37)</f>
        <v/>
      </c>
      <c r="I37" s="62" t="n">
        <v>0.08</v>
      </c>
      <c r="J37" s="60">
        <f>H37*I37</f>
        <v/>
      </c>
      <c r="K37" s="62" t="n">
        <v>0.42</v>
      </c>
      <c r="L37" s="60">
        <f>(H37+J37)*K37</f>
        <v/>
      </c>
      <c r="M37" s="62" t="n">
        <v>0.28</v>
      </c>
      <c r="N37" s="60">
        <f>(H37+J37+L37)*M37</f>
        <v/>
      </c>
      <c r="O37" s="60">
        <f>H37+J37+L37+N37</f>
        <v/>
      </c>
      <c r="P37" s="63" t="n">
        <v>0.1</v>
      </c>
      <c r="Q37" s="64">
        <f>O37*P37</f>
        <v/>
      </c>
      <c r="R37" s="96">
        <f>O37+Q37</f>
        <v/>
      </c>
      <c r="S37" s="66" t="inlineStr">
        <is>
          <t>〰️ stima lump-sum — acciaio nero (coerente con esistente, vedi foto). Prezzo da confermare con rilievo metrico C.T.</t>
        </is>
      </c>
      <c r="T37" s="106">
        <f>L37/52</f>
        <v/>
      </c>
      <c r="U37" s="106">
        <f>T37/2</f>
        <v/>
      </c>
      <c r="V37" s="106">
        <f>U37/8</f>
        <v/>
      </c>
    </row>
    <row r="38" ht="36" customHeight="1" s="37">
      <c r="A38" s="68" t="inlineStr">
        <is>
          <t>Coibentazione tubazioni C.T. — nuova, totale</t>
        </is>
      </c>
      <c r="B38" s="99" t="inlineStr">
        <is>
          <t>Armaflex / K-Flex</t>
        </is>
      </c>
      <c r="C38" s="70" t="inlineStr">
        <is>
          <t>Guaina elastomerica a cellule chiuse, spessore ≥ 25mm per DN50+, ≥ 19mm per DN≤40, finitura con nastro adesivo. Copre tutte le tubazioni nuove in C.T. incluse raccorderie e valvole.</t>
        </is>
      </c>
      <c r="D38" s="71" t="n">
        <v>1</v>
      </c>
      <c r="E38" s="72" t="n">
        <v>900</v>
      </c>
      <c r="F38" s="72">
        <f>D38*E38</f>
        <v/>
      </c>
      <c r="G38" s="73" t="n">
        <v>0</v>
      </c>
      <c r="H38" s="72">
        <f>F38*(1-G38)</f>
        <v/>
      </c>
      <c r="I38" s="62" t="n">
        <v>0.06</v>
      </c>
      <c r="J38" s="72">
        <f>H38*I38</f>
        <v/>
      </c>
      <c r="K38" s="62" t="n">
        <v>0.38</v>
      </c>
      <c r="L38" s="72">
        <f>(H38+J38)*K38</f>
        <v/>
      </c>
      <c r="M38" s="62" t="n">
        <v>0.25</v>
      </c>
      <c r="N38" s="72">
        <f>(H38+J38+L38)*M38</f>
        <v/>
      </c>
      <c r="O38" s="72">
        <f>H38+J38+L38+N38</f>
        <v/>
      </c>
      <c r="P38" s="63" t="n">
        <v>0.1</v>
      </c>
      <c r="Q38" s="74">
        <f>O38*P38</f>
        <v/>
      </c>
      <c r="R38" s="96">
        <f>O38+Q38</f>
        <v/>
      </c>
      <c r="S38" s="75" t="inlineStr">
        <is>
          <t>〰️ stima — dimensionamento da rilievo</t>
        </is>
      </c>
      <c r="T38" s="107">
        <f>L38/52</f>
        <v/>
      </c>
      <c r="U38" s="107">
        <f>T38/2</f>
        <v/>
      </c>
      <c r="V38" s="107">
        <f>U38/8</f>
        <v/>
      </c>
    </row>
    <row r="39" ht="36" customHeight="1" s="37">
      <c r="A39" s="56" t="inlineStr">
        <is>
          <t>Circolatore EC principale — distribuzione secondaria DN50</t>
        </is>
      </c>
      <c r="B39" s="88" t="inlineStr">
        <is>
          <t>Wilo Stratos MAXO / Grundfos MAGNA3</t>
        </is>
      </c>
      <c r="C39" s="58" t="inlineStr">
        <is>
          <t>Circuito secondario PDC → KAI → distribuzione radiante: 1× circolatore EC a velocità variabile DN50, P.U. max 340 W, controllo integrato ΔP costante/variabile, Classe energetica A (risparmio ~85% vs TOP-SD 50/10 esistente a 880W). Sostituzione 1 gemellare TOP-SD 50/10 esistente.</t>
        </is>
      </c>
      <c r="D39" s="59" t="n">
        <v>1</v>
      </c>
      <c r="E39" s="60" t="n">
        <v>750</v>
      </c>
      <c r="F39" s="60">
        <f>D39*E39</f>
        <v/>
      </c>
      <c r="G39" s="61" t="n">
        <v>0</v>
      </c>
      <c r="H39" s="60">
        <f>F39*(1-G39)</f>
        <v/>
      </c>
      <c r="I39" s="62" t="n">
        <v>0.05</v>
      </c>
      <c r="J39" s="60">
        <f>H39*I39</f>
        <v/>
      </c>
      <c r="K39" s="62" t="n">
        <v>0.18</v>
      </c>
      <c r="L39" s="60">
        <f>(H39+J39)*K39</f>
        <v/>
      </c>
      <c r="M39" s="62" t="n">
        <v>0.28</v>
      </c>
      <c r="N39" s="60">
        <f>(H39+J39+L39)*M39</f>
        <v/>
      </c>
      <c r="O39" s="60">
        <f>H39+J39+L39+N39</f>
        <v/>
      </c>
      <c r="P39" s="63" t="n">
        <v>0.1</v>
      </c>
      <c r="Q39" s="64">
        <f>O39*P39</f>
        <v/>
      </c>
      <c r="R39" s="96">
        <f>O39+Q39</f>
        <v/>
      </c>
      <c r="S39" s="66" t="inlineStr">
        <is>
          <t>〰️ stima — Wilo Stratos MAXO 50/0,5-9: ~650-900 € netto installatore</t>
        </is>
      </c>
      <c r="T39" s="106">
        <f>L39/52</f>
        <v/>
      </c>
      <c r="U39" s="106">
        <f>T39/2</f>
        <v/>
      </c>
      <c r="V39" s="106">
        <f>U39/8</f>
        <v/>
      </c>
    </row>
    <row r="40" ht="36" customHeight="1" s="37">
      <c r="A40" s="68" t="inlineStr">
        <is>
          <t>Circolatore EC zona distribuzione DN32</t>
        </is>
      </c>
      <c r="B40" s="99" t="inlineStr">
        <is>
          <t>Wilo Stratos PICO / Grundfos MAGNA3</t>
        </is>
      </c>
      <c r="C40" s="70" t="inlineStr">
        <is>
          <t>1× circolatore EC a velocità variabile DN32 per circuito di zona (sostituzione gemellare TOP-SD 32/7 esistente). P.U. max 75 W vs 200 W esistente.</t>
        </is>
      </c>
      <c r="D40" s="71" t="n">
        <v>1</v>
      </c>
      <c r="E40" s="72" t="n">
        <v>380</v>
      </c>
      <c r="F40" s="72">
        <f>D40*E40</f>
        <v/>
      </c>
      <c r="G40" s="73" t="n">
        <v>0</v>
      </c>
      <c r="H40" s="72">
        <f>F40*(1-G40)</f>
        <v/>
      </c>
      <c r="I40" s="62" t="n">
        <v>0.05</v>
      </c>
      <c r="J40" s="72">
        <f>H40*I40</f>
        <v/>
      </c>
      <c r="K40" s="62" t="n">
        <v>0.18</v>
      </c>
      <c r="L40" s="72">
        <f>(H40+J40)*K40</f>
        <v/>
      </c>
      <c r="M40" s="62" t="n">
        <v>0.28</v>
      </c>
      <c r="N40" s="72">
        <f>(H40+J40+L40)*M40</f>
        <v/>
      </c>
      <c r="O40" s="72">
        <f>H40+J40+L40+N40</f>
        <v/>
      </c>
      <c r="P40" s="63" t="n">
        <v>0.1</v>
      </c>
      <c r="Q40" s="74">
        <f>O40*P40</f>
        <v/>
      </c>
      <c r="R40" s="96">
        <f>O40+Q40</f>
        <v/>
      </c>
      <c r="S40" s="75" t="inlineStr">
        <is>
          <t>〰️ stima — da confermare funzione dopo rilievo; il circuito radiante secondario (manifold nei locali) è nuovo e tenuto</t>
        </is>
      </c>
      <c r="T40" s="107">
        <f>L40/52</f>
        <v/>
      </c>
      <c r="U40" s="107">
        <f>T40/2</f>
        <v/>
      </c>
      <c r="V40" s="107">
        <f>U40/8</f>
        <v/>
      </c>
    </row>
    <row r="41" ht="36" customHeight="1" s="37">
      <c r="A41" s="56" t="inlineStr">
        <is>
          <t>Valvolame di intercettazione e ritegno — nuovi per PDC e circuiti</t>
        </is>
      </c>
      <c r="B41" s="57" t="n"/>
      <c r="C41" s="58" t="inlineStr">
        <is>
          <t>Per ogni PDC: rubinetto sferico DN40 andata/ritorno + ritegno + filtro Y bronzo; vaso espansione membrana 24L; VS tarata 3 bar; manometro; sfiati aria automatici; raccordi antivibranti (n.4 flessibili). Materiale stimato a corpo per C.T. rifatta.</t>
        </is>
      </c>
      <c r="D41" s="59" t="n">
        <v>1</v>
      </c>
      <c r="E41" s="60" t="n">
        <v>1200</v>
      </c>
      <c r="F41" s="60">
        <f>D41*E41</f>
        <v/>
      </c>
      <c r="G41" s="61" t="n">
        <v>0</v>
      </c>
      <c r="H41" s="60">
        <f>F41*(1-G41)</f>
        <v/>
      </c>
      <c r="I41" s="62" t="n">
        <v>0.06</v>
      </c>
      <c r="J41" s="60">
        <f>H41*I41</f>
        <v/>
      </c>
      <c r="K41" s="62" t="n">
        <v>0.25</v>
      </c>
      <c r="L41" s="60">
        <f>(H41+J41)*K41</f>
        <v/>
      </c>
      <c r="M41" s="62" t="n">
        <v>0.28</v>
      </c>
      <c r="N41" s="60">
        <f>(H41+J41+L41)*M41</f>
        <v/>
      </c>
      <c r="O41" s="60">
        <f>H41+J41+L41+N41</f>
        <v/>
      </c>
      <c r="P41" s="63" t="n">
        <v>0.1</v>
      </c>
      <c r="Q41" s="64">
        <f>O41*P41</f>
        <v/>
      </c>
      <c r="R41" s="96">
        <f>O41+Q41</f>
        <v/>
      </c>
      <c r="S41" s="66" t="inlineStr">
        <is>
          <t>〰️ stima a corpo — da quantificare con lay-out esecutivo</t>
        </is>
      </c>
      <c r="T41" s="106">
        <f>L41/52</f>
        <v/>
      </c>
      <c r="U41" s="106">
        <f>T41/2</f>
        <v/>
      </c>
      <c r="V41" s="106">
        <f>U41/8</f>
        <v/>
      </c>
    </row>
    <row r="42" ht="36" customHeight="1" s="37">
      <c r="A42" s="68" t="inlineStr">
        <is>
          <t>Bilanciamento idraulico circuiti radianti a pavimento</t>
        </is>
      </c>
      <c r="B42" s="69" t="n"/>
      <c r="C42" s="70" t="inlineStr">
        <is>
          <t>Installazione valvole bilanciatrici autoregolanti sugli anelli (stima n.10÷14 anelli da rilievo planimetrico) e taratura con flussimetro. Risolve il problema di comfort dichiarato (sbilanciamento zona uffici). NOTA: i manifold e le tubazioni nei locali sono nuovi e tenuti — solo la taratura è necessaria.</t>
        </is>
      </c>
      <c r="D42" s="71" t="n">
        <v>1</v>
      </c>
      <c r="E42" s="72" t="n">
        <v>1800</v>
      </c>
      <c r="F42" s="72">
        <f>D42*E42</f>
        <v/>
      </c>
      <c r="G42" s="73" t="n">
        <v>0</v>
      </c>
      <c r="H42" s="72">
        <f>F42*(1-G42)</f>
        <v/>
      </c>
      <c r="I42" s="62" t="n">
        <v>0.06</v>
      </c>
      <c r="J42" s="72">
        <f>H42*I42</f>
        <v/>
      </c>
      <c r="K42" s="62" t="n">
        <v>0.25</v>
      </c>
      <c r="L42" s="72">
        <f>(H42+J42)*K42</f>
        <v/>
      </c>
      <c r="M42" s="62" t="n">
        <v>0.28</v>
      </c>
      <c r="N42" s="72">
        <f>(H42+J42+L42)*M42</f>
        <v/>
      </c>
      <c r="O42" s="72">
        <f>H42+J42+L42+N42</f>
        <v/>
      </c>
      <c r="P42" s="63" t="n">
        <v>0.1</v>
      </c>
      <c r="Q42" s="74">
        <f>O42*P42</f>
        <v/>
      </c>
      <c r="R42" s="96">
        <f>O42+Q42</f>
        <v/>
      </c>
      <c r="S42" s="75" t="inlineStr">
        <is>
          <t>〰️ stima — voce CRITICA per risolvere lo sbilanciamento segnalato dal cliente. N.anelli da confermare con rilievo.</t>
        </is>
      </c>
      <c r="T42" s="107">
        <f>L42/52</f>
        <v/>
      </c>
      <c r="U42" s="107">
        <f>T42/2</f>
        <v/>
      </c>
      <c r="V42" s="107">
        <f>U42/8</f>
        <v/>
      </c>
    </row>
    <row r="43" ht="12.95" customHeight="1" s="37">
      <c r="A43" s="103" t="inlineStr">
        <is>
          <t xml:space="preserve">  IMPIANTO ELETTRICO — QUADRO E ALIMENTAZIONI PDC</t>
        </is>
      </c>
      <c r="B43" s="103" t="n"/>
      <c r="C43" s="103" t="n"/>
      <c r="D43" s="103" t="n"/>
      <c r="E43" s="103" t="n"/>
      <c r="F43" s="103" t="n"/>
      <c r="G43" s="103" t="n"/>
      <c r="H43" s="103" t="n"/>
      <c r="I43" s="103" t="n"/>
      <c r="J43" s="103" t="n"/>
      <c r="K43" s="103" t="n"/>
      <c r="L43" s="103" t="n"/>
      <c r="M43" s="103" t="n"/>
      <c r="N43" s="103" t="n"/>
      <c r="O43" s="103" t="n"/>
      <c r="P43" s="103" t="n"/>
      <c r="Q43" s="103" t="n"/>
      <c r="R43" s="103" t="n"/>
      <c r="S43" s="55" t="n"/>
      <c r="T43" s="55" t="n"/>
      <c r="U43" s="55" t="n"/>
      <c r="V43" s="55" t="n"/>
    </row>
    <row r="44" ht="45" customHeight="1" s="37">
      <c r="A44" s="56" t="inlineStr">
        <is>
          <t>Quadro elettrico C.T. — nuovo, dedicato PDC</t>
        </is>
      </c>
      <c r="B44" s="57" t="inlineStr">
        <is>
          <t>Hager / Legrand</t>
        </is>
      </c>
      <c r="C44" s="58" t="inlineStr">
        <is>
          <t>Nuovo quadro dedicato in sostituzione del vecchio: sezioni GENERALE (interruttore magnetotermico 4P+N 63A), PDC 1 (MCCB 4P 25A + diff. 300mA), PDC 2 (MCCB 4P 25A + diff. 300mA), CIRCOLATORI (MCB 4P 10A × 2), CONTROLLO/AUSILIARI (MCB 1P × 4), SPD Classe II, morsettiere, schemi elettrici. Armadio plastica IP65.</t>
        </is>
      </c>
      <c r="D44" s="59" t="n">
        <v>1</v>
      </c>
      <c r="E44" s="60" t="n">
        <v>1400</v>
      </c>
      <c r="F44" s="60">
        <f>D44*E44</f>
        <v/>
      </c>
      <c r="G44" s="61" t="n">
        <v>0</v>
      </c>
      <c r="H44" s="60">
        <f>F44*(1-G44)</f>
        <v/>
      </c>
      <c r="I44" s="62" t="n">
        <v>0.05</v>
      </c>
      <c r="J44" s="60">
        <f>H44*I44</f>
        <v/>
      </c>
      <c r="K44" s="62" t="n">
        <v>0.28</v>
      </c>
      <c r="L44" s="60">
        <f>(H44+J44)*K44</f>
        <v/>
      </c>
      <c r="M44" s="62" t="n">
        <v>0.25</v>
      </c>
      <c r="N44" s="60">
        <f>(H44+J44+L44)*M44</f>
        <v/>
      </c>
      <c r="O44" s="60">
        <f>H44+J44+L44+N44</f>
        <v/>
      </c>
      <c r="P44" s="63" t="n">
        <v>0.1</v>
      </c>
      <c r="Q44" s="64">
        <f>O44*P44</f>
        <v/>
      </c>
      <c r="R44" s="96">
        <f>O44+Q44</f>
        <v/>
      </c>
      <c r="S44" s="66" t="inlineStr">
        <is>
          <t>〰️ stima — il vecchio quadro (foto) ha sezioni CALDAIA e logica a relè: non riutilizzabile per PDC inverter con controllo M/S</t>
        </is>
      </c>
      <c r="T44" s="106">
        <f>L44/52</f>
        <v/>
      </c>
      <c r="U44" s="106">
        <f>T44/2</f>
        <v/>
      </c>
      <c r="V44" s="106">
        <f>U44/8</f>
        <v/>
      </c>
    </row>
    <row r="45" ht="36" customHeight="1" s="37">
      <c r="A45" s="68" t="inlineStr">
        <is>
          <t>Cavi alimentazione PDC trifase 400V</t>
        </is>
      </c>
      <c r="B45" s="69" t="n"/>
      <c r="C45" s="70" t="inlineStr">
        <is>
          <t>N.2 linee FG7OR 4G10mm² dal QE C.T. alle unità esterne (stima 2×15m = 30m totali), conduit corrugato staffato, passaggi parete, fascette inox.</t>
        </is>
      </c>
      <c r="D45" s="71" t="n">
        <v>1</v>
      </c>
      <c r="E45" s="72" t="n">
        <v>680</v>
      </c>
      <c r="F45" s="72">
        <f>D45*E45</f>
        <v/>
      </c>
      <c r="G45" s="73" t="n">
        <v>0</v>
      </c>
      <c r="H45" s="72">
        <f>F45*(1-G45)</f>
        <v/>
      </c>
      <c r="I45" s="62" t="n">
        <v>0.07000000000000001</v>
      </c>
      <c r="J45" s="72">
        <f>H45*I45</f>
        <v/>
      </c>
      <c r="K45" s="62" t="n">
        <v>0.32</v>
      </c>
      <c r="L45" s="72">
        <f>(H45+J45)*K45</f>
        <v/>
      </c>
      <c r="M45" s="62" t="n">
        <v>0.25</v>
      </c>
      <c r="N45" s="72">
        <f>(H45+J45+L45)*M45</f>
        <v/>
      </c>
      <c r="O45" s="72">
        <f>H45+J45+L45+N45</f>
        <v/>
      </c>
      <c r="P45" s="63" t="n">
        <v>0.1</v>
      </c>
      <c r="Q45" s="74">
        <f>O45*P45</f>
        <v/>
      </c>
      <c r="R45" s="96">
        <f>O45+Q45</f>
        <v/>
      </c>
      <c r="S45" s="75" t="inlineStr">
        <is>
          <t>〰️ stima — lunghezza definitiva da rilievo posizionamento PDC</t>
        </is>
      </c>
      <c r="T45" s="107">
        <f>L45/52</f>
        <v/>
      </c>
      <c r="U45" s="107">
        <f>T45/2</f>
        <v/>
      </c>
      <c r="V45" s="107">
        <f>U45/8</f>
        <v/>
      </c>
    </row>
    <row r="46" ht="36" customHeight="1" s="37">
      <c r="A46" s="56" t="inlineStr">
        <is>
          <t>Cavi segnale: bus M/S + sonda T aria esterna + conduit</t>
        </is>
      </c>
      <c r="B46" s="57" t="n"/>
      <c r="C46" s="58" t="inlineStr">
        <is>
          <t>Cavo RS485 collegamento master/slave (≤15m), cavo sonda temperatura aria esterna, conduit segnali separato dai cavi forza, etichettatura.</t>
        </is>
      </c>
      <c r="D46" s="59" t="n">
        <v>1</v>
      </c>
      <c r="E46" s="60" t="n">
        <v>240</v>
      </c>
      <c r="F46" s="60">
        <f>D46*E46</f>
        <v/>
      </c>
      <c r="G46" s="61" t="n">
        <v>0</v>
      </c>
      <c r="H46" s="60">
        <f>F46*(1-G46)</f>
        <v/>
      </c>
      <c r="I46" s="62" t="n">
        <v>0.07000000000000001</v>
      </c>
      <c r="J46" s="60">
        <f>H46*I46</f>
        <v/>
      </c>
      <c r="K46" s="62" t="n">
        <v>0.32</v>
      </c>
      <c r="L46" s="60">
        <f>(H46+J46)*K46</f>
        <v/>
      </c>
      <c r="M46" s="62" t="n">
        <v>0.25</v>
      </c>
      <c r="N46" s="60">
        <f>(H46+J46+L46)*M46</f>
        <v/>
      </c>
      <c r="O46" s="60">
        <f>H46+J46+L46+N46</f>
        <v/>
      </c>
      <c r="P46" s="63" t="n">
        <v>0.1</v>
      </c>
      <c r="Q46" s="64">
        <f>O46*P46</f>
        <v/>
      </c>
      <c r="R46" s="96">
        <f>O46+Q46</f>
        <v/>
      </c>
      <c r="S46" s="66" t="inlineStr">
        <is>
          <t>〰️ stima</t>
        </is>
      </c>
      <c r="T46" s="106">
        <f>L46/52</f>
        <v/>
      </c>
      <c r="U46" s="106">
        <f>T46/2</f>
        <v/>
      </c>
      <c r="V46" s="106">
        <f>U46/8</f>
        <v/>
      </c>
    </row>
    <row r="47" ht="36" customHeight="1" s="37">
      <c r="A47" s="68" t="inlineStr">
        <is>
          <t>Messa a terra strutture + equipotenziale unità esterne</t>
        </is>
      </c>
      <c r="B47" s="69" t="n"/>
      <c r="C47" s="70" t="inlineStr">
        <is>
          <t>Conduttori PE, morsetti equipotenziali, verifica e adeguamento dispersore esistente.</t>
        </is>
      </c>
      <c r="D47" s="71" t="n">
        <v>1</v>
      </c>
      <c r="E47" s="72" t="n">
        <v>160</v>
      </c>
      <c r="F47" s="72">
        <f>D47*E47</f>
        <v/>
      </c>
      <c r="G47" s="73" t="n">
        <v>0</v>
      </c>
      <c r="H47" s="72">
        <f>F47*(1-G47)</f>
        <v/>
      </c>
      <c r="I47" s="62" t="n">
        <v>0.07000000000000001</v>
      </c>
      <c r="J47" s="72">
        <f>H47*I47</f>
        <v/>
      </c>
      <c r="K47" s="62" t="n">
        <v>0.32</v>
      </c>
      <c r="L47" s="72">
        <f>(H47+J47)*K47</f>
        <v/>
      </c>
      <c r="M47" s="62" t="n">
        <v>0.25</v>
      </c>
      <c r="N47" s="72">
        <f>(H47+J47+L47)*M47</f>
        <v/>
      </c>
      <c r="O47" s="72">
        <f>H47+J47+L47+N47</f>
        <v/>
      </c>
      <c r="P47" s="63" t="n">
        <v>0.1</v>
      </c>
      <c r="Q47" s="74">
        <f>O47*P47</f>
        <v/>
      </c>
      <c r="R47" s="96">
        <f>O47+Q47</f>
        <v/>
      </c>
      <c r="S47" s="75" t="inlineStr">
        <is>
          <t>〰️ stima</t>
        </is>
      </c>
      <c r="T47" s="107">
        <f>L47/52</f>
        <v/>
      </c>
      <c r="U47" s="107">
        <f>T47/2</f>
        <v/>
      </c>
      <c r="V47" s="107">
        <f>U47/8</f>
        <v/>
      </c>
    </row>
    <row r="48" ht="12.95" customHeight="1" s="37">
      <c r="A48" s="103" t="inlineStr">
        <is>
          <t xml:space="preserve">  CHIUSURA FORNITURA GAS</t>
        </is>
      </c>
      <c r="B48" s="103" t="n"/>
      <c r="C48" s="103" t="n"/>
      <c r="D48" s="103" t="n"/>
      <c r="E48" s="103" t="n"/>
      <c r="F48" s="103" t="n"/>
      <c r="G48" s="103" t="n"/>
      <c r="H48" s="103" t="n"/>
      <c r="I48" s="103" t="n"/>
      <c r="J48" s="103" t="n"/>
      <c r="K48" s="103" t="n"/>
      <c r="L48" s="103" t="n"/>
      <c r="M48" s="103" t="n"/>
      <c r="N48" s="103" t="n"/>
      <c r="O48" s="103" t="n"/>
      <c r="P48" s="103" t="n"/>
      <c r="Q48" s="103" t="n"/>
      <c r="R48" s="103" t="n"/>
      <c r="S48" s="55" t="n"/>
      <c r="T48" s="55" t="n"/>
      <c r="U48" s="55" t="n"/>
      <c r="V48" s="55" t="n"/>
    </row>
    <row r="49" ht="36" customHeight="1" s="37">
      <c r="A49" s="56" t="inlineStr">
        <is>
          <t>Chiusura contratto gas + disattivazione impianto in C.T.</t>
        </is>
      </c>
      <c r="B49" s="88" t="inlineStr">
        <is>
          <t>Hera Comm / impiantista abilitato</t>
        </is>
      </c>
      <c r="C49" s="58" t="inlineStr">
        <is>
          <t>Richiesta formale chiusura PDR (Hera Comm), intervento gestore per tappatura PDR lato strada, smontaggio raccorderia gas in C.T., tappatura valvola principale. La chiusura PDR elimina la quota fissa gas (636 €/anno).</t>
        </is>
      </c>
      <c r="D49" s="59" t="n">
        <v>1</v>
      </c>
      <c r="E49" s="60" t="n">
        <v>280</v>
      </c>
      <c r="F49" s="60">
        <f>D49*E49</f>
        <v/>
      </c>
      <c r="G49" s="61" t="n">
        <v>0</v>
      </c>
      <c r="H49" s="60">
        <f>F49*(1-G49)</f>
        <v/>
      </c>
      <c r="I49" s="62" t="n">
        <v>0.06</v>
      </c>
      <c r="J49" s="60">
        <f>H49*I49</f>
        <v/>
      </c>
      <c r="K49" s="62" t="n">
        <v>0.25</v>
      </c>
      <c r="L49" s="60">
        <f>(H49+J49)*K49</f>
        <v/>
      </c>
      <c r="M49" s="62" t="n">
        <v>0.28</v>
      </c>
      <c r="N49" s="60">
        <f>(H49+J49+L49)*M49</f>
        <v/>
      </c>
      <c r="O49" s="60">
        <f>H49+J49+L49+N49</f>
        <v/>
      </c>
      <c r="P49" s="63" t="n">
        <v>0.1</v>
      </c>
      <c r="Q49" s="64">
        <f>O49*P49</f>
        <v/>
      </c>
      <c r="R49" s="96">
        <f>O49+Q49</f>
        <v/>
      </c>
      <c r="S49" s="66" t="inlineStr">
        <is>
          <t>〰️ stima — la chiusura del contratto è spesso gratuita lato gestore; il costo qui è la prestazione dell'impiantista</t>
        </is>
      </c>
      <c r="T49" s="106">
        <f>L49/52</f>
        <v/>
      </c>
      <c r="U49" s="106">
        <f>T49/2</f>
        <v/>
      </c>
      <c r="V49" s="106">
        <f>U49/8</f>
        <v/>
      </c>
    </row>
    <row r="50" ht="12.95" customHeight="1" s="37">
      <c r="A50" s="54" t="inlineStr">
        <is>
          <t xml:space="preserve">  TRASPORTO</t>
        </is>
      </c>
      <c r="S50" s="55" t="n"/>
      <c r="T50" s="55" t="n"/>
      <c r="U50" s="55" t="n"/>
      <c r="V50" s="55" t="n"/>
    </row>
    <row r="51" ht="36" customHeight="1" s="37" thickBot="1">
      <c r="A51" s="56" t="inlineStr">
        <is>
          <t>Trasporto materiali e macchine</t>
        </is>
      </c>
      <c r="B51" s="57" t="inlineStr">
        <is>
          <t>RHOSS + altri fornitori</t>
        </is>
      </c>
      <c r="C51" s="58" t="inlineStr">
        <is>
          <t>RHOSS: collettame P.C. (da offerta 2× THAITI 118: 466 €, interpolato per 122). Varie: tubazioni, quadri, circolatori.</t>
        </is>
      </c>
      <c r="D51" s="59" t="n">
        <v>1</v>
      </c>
      <c r="E51" s="60" t="n">
        <v>750</v>
      </c>
      <c r="F51" s="60">
        <f>D51*E51</f>
        <v/>
      </c>
      <c r="G51" s="61" t="n">
        <v>0</v>
      </c>
      <c r="H51" s="60">
        <f>F51*(1-G51)</f>
        <v/>
      </c>
      <c r="I51" s="62" t="n">
        <v>0</v>
      </c>
      <c r="J51" s="60" t="n">
        <v>0</v>
      </c>
      <c r="K51" s="62" t="n">
        <v>0</v>
      </c>
      <c r="L51" s="60" t="n">
        <v>0</v>
      </c>
      <c r="M51" s="62" t="n">
        <v>0.12</v>
      </c>
      <c r="N51" s="60">
        <f>H51*M51</f>
        <v/>
      </c>
      <c r="O51" s="60">
        <f>H51+N51</f>
        <v/>
      </c>
      <c r="P51" s="63" t="n">
        <v>0</v>
      </c>
      <c r="Q51" s="64">
        <f>O51*P51</f>
        <v/>
      </c>
      <c r="R51" s="96">
        <f>O51+Q51</f>
        <v/>
      </c>
      <c r="S51" s="66" t="inlineStr">
        <is>
          <t>〰️ stima composita</t>
        </is>
      </c>
      <c r="T51" s="106" t="n">
        <v>0</v>
      </c>
      <c r="U51" s="106" t="n">
        <v>0</v>
      </c>
      <c r="V51" s="106" t="n">
        <v>0</v>
      </c>
    </row>
    <row r="52" ht="15" customHeight="1" s="37" thickBot="1">
      <c r="A52" s="89" t="inlineStr">
        <is>
          <t xml:space="preserve">  SUBTOTALE LAVORI — IVA esclusa</t>
        </is>
      </c>
      <c r="B52" s="89">
        <f>A25</f>
        <v/>
      </c>
      <c r="C52" s="89" t="n"/>
      <c r="D52" s="89" t="n"/>
      <c r="E52" s="89" t="n"/>
      <c r="F52" s="89" t="n"/>
      <c r="G52" s="89" t="n"/>
      <c r="H52" s="89" t="n"/>
      <c r="I52" s="89" t="n"/>
      <c r="J52" s="89" t="n"/>
      <c r="K52" s="89" t="n"/>
      <c r="L52" s="89" t="n"/>
      <c r="M52" s="89" t="n"/>
      <c r="N52" s="89" t="n"/>
      <c r="O52" s="89" t="n"/>
      <c r="P52" s="89" t="n"/>
      <c r="Q52" s="89" t="n"/>
      <c r="R52" s="97">
        <f>SUM(R26:R51)</f>
        <v/>
      </c>
      <c r="S52" s="108" t="n"/>
      <c r="T52" s="108">
        <f>SUM(T26:T51)</f>
        <v/>
      </c>
      <c r="U52" s="108">
        <f>SUM(U26:U51)</f>
        <v/>
      </c>
      <c r="V52" s="108">
        <f>SUM(V26:V51)</f>
        <v/>
      </c>
    </row>
    <row r="53" ht="30" customHeight="1" s="37">
      <c r="A53" s="84" t="inlineStr">
        <is>
          <t xml:space="preserve">  ━━━━━━ PRESTAZIONI TECNICHE  ━━━━━━</t>
        </is>
      </c>
      <c r="S53" s="85" t="n"/>
      <c r="T53" s="85" t="n"/>
      <c r="U53" s="85" t="n"/>
      <c r="V53" s="85" t="n"/>
    </row>
    <row r="54" ht="12.95" customHeight="1" s="37">
      <c r="A54" s="103">
        <f>A5</f>
        <v/>
      </c>
      <c r="B54" s="103" t="n"/>
      <c r="C54" s="103" t="n"/>
      <c r="D54" s="103" t="n"/>
      <c r="E54" s="103" t="n"/>
      <c r="F54" s="103" t="n"/>
      <c r="G54" s="103" t="n"/>
      <c r="H54" s="103" t="n"/>
      <c r="I54" s="103" t="n"/>
      <c r="J54" s="103" t="n"/>
      <c r="K54" s="103" t="n"/>
      <c r="L54" s="103" t="n"/>
      <c r="M54" s="103" t="n"/>
      <c r="N54" s="103" t="n"/>
      <c r="O54" s="103" t="n"/>
      <c r="P54" s="103" t="n"/>
      <c r="Q54" s="103" t="n"/>
      <c r="R54" s="103" t="n"/>
      <c r="S54" s="55" t="n"/>
      <c r="T54" s="55" t="n"/>
      <c r="U54" s="55" t="n"/>
      <c r="V54" s="55" t="n"/>
    </row>
    <row r="55" ht="36" customHeight="1" s="37">
      <c r="A55" s="56" t="inlineStr">
        <is>
          <t>Progettazione esecutiva</t>
        </is>
      </c>
      <c r="B55" s="57" t="n"/>
      <c r="C55" s="58" t="n"/>
      <c r="D55" s="59" t="n">
        <v>1</v>
      </c>
      <c r="E55" s="60" t="n">
        <v>650</v>
      </c>
      <c r="F55" s="60">
        <f>D55*E55</f>
        <v/>
      </c>
      <c r="G55" s="61" t="n">
        <v>0</v>
      </c>
      <c r="H55" s="60">
        <f>F55*(1-G55)</f>
        <v/>
      </c>
      <c r="I55" s="62" t="n">
        <v>0</v>
      </c>
      <c r="J55" s="60">
        <f>H55*I55</f>
        <v/>
      </c>
      <c r="K55" s="62" t="n">
        <v>0</v>
      </c>
      <c r="L55" s="60">
        <f>(H55+J55)*K55</f>
        <v/>
      </c>
      <c r="M55" s="62" t="n">
        <v>0.12</v>
      </c>
      <c r="N55" s="60">
        <f>(H55+J55+L55)*M55</f>
        <v/>
      </c>
      <c r="O55" s="60">
        <f>H55+J55+L55+N55</f>
        <v/>
      </c>
      <c r="P55" s="63" t="n">
        <v>0</v>
      </c>
      <c r="Q55" s="64">
        <f>O55*P55</f>
        <v/>
      </c>
      <c r="R55" s="96" t="n">
        <v>7250</v>
      </c>
      <c r="S55" s="66" t="n"/>
      <c r="T55" s="106" t="n">
        <v>0</v>
      </c>
      <c r="U55" s="106" t="n">
        <v>0</v>
      </c>
      <c r="V55" s="106" t="n">
        <v>0</v>
      </c>
    </row>
    <row r="56" ht="36" customHeight="1" s="37">
      <c r="A56" s="56" t="inlineStr">
        <is>
          <t>Direzione lavori e assistenza al collaudo</t>
        </is>
      </c>
      <c r="B56" s="57" t="n"/>
      <c r="C56" s="58" t="n"/>
      <c r="D56" s="59" t="n">
        <v>1</v>
      </c>
      <c r="E56" s="60" t="n">
        <v>650</v>
      </c>
      <c r="F56" s="60">
        <f>D56*E56</f>
        <v/>
      </c>
      <c r="G56" s="61" t="n">
        <v>0</v>
      </c>
      <c r="H56" s="60">
        <f>F56*(1-G56)</f>
        <v/>
      </c>
      <c r="I56" s="62" t="n">
        <v>0</v>
      </c>
      <c r="J56" s="60">
        <f>H56*I56</f>
        <v/>
      </c>
      <c r="K56" s="62" t="n">
        <v>0</v>
      </c>
      <c r="L56" s="60">
        <f>(H56+J56)*K56</f>
        <v/>
      </c>
      <c r="M56" s="62" t="n">
        <v>0.12</v>
      </c>
      <c r="N56" s="60">
        <f>(H56+J56+L56)*M56</f>
        <v/>
      </c>
      <c r="O56" s="60">
        <f>H56+J56+L56+N56</f>
        <v/>
      </c>
      <c r="P56" s="63" t="n">
        <v>0</v>
      </c>
      <c r="Q56" s="64">
        <f>O56*P56</f>
        <v/>
      </c>
      <c r="R56" s="109" t="n"/>
      <c r="S56" s="66" t="n"/>
      <c r="T56" s="106" t="n">
        <v>0</v>
      </c>
      <c r="U56" s="106" t="n">
        <v>0</v>
      </c>
      <c r="V56" s="106" t="n">
        <v>0</v>
      </c>
    </row>
    <row r="57" ht="36" customHeight="1" s="37">
      <c r="A57" s="56" t="inlineStr">
        <is>
          <t>Pratiche GSE — comunicazione preventiva + fine lavori + RD</t>
        </is>
      </c>
      <c r="B57" s="57" t="n"/>
      <c r="C57" s="58" t="inlineStr">
        <is>
          <t xml:space="preserve">Portale GSE: comunicazione preventiva impianto, dichiarazione fine lavori, iscrizione RD (Ritiro dedicato) </t>
        </is>
      </c>
      <c r="D57" s="59" t="n">
        <v>1</v>
      </c>
      <c r="E57" s="60" t="n">
        <v>650</v>
      </c>
      <c r="F57" s="60">
        <f>D57*E57</f>
        <v/>
      </c>
      <c r="G57" s="61" t="n">
        <v>0</v>
      </c>
      <c r="H57" s="60">
        <f>F57*(1-G57)</f>
        <v/>
      </c>
      <c r="I57" s="62" t="n">
        <v>0</v>
      </c>
      <c r="J57" s="60">
        <f>H57*I57</f>
        <v/>
      </c>
      <c r="K57" s="62" t="n">
        <v>0</v>
      </c>
      <c r="L57" s="60">
        <f>(H57+J57)*K57</f>
        <v/>
      </c>
      <c r="M57" s="62" t="n">
        <v>0.12</v>
      </c>
      <c r="N57" s="60">
        <f>(H57+J57+L57)*M57</f>
        <v/>
      </c>
      <c r="O57" s="60">
        <f>H57+J57+L57+N57</f>
        <v/>
      </c>
      <c r="P57" s="63" t="n">
        <v>0</v>
      </c>
      <c r="Q57" s="64">
        <f>O57*P57</f>
        <v/>
      </c>
      <c r="R57" s="110" t="n"/>
      <c r="S57" s="66" t="n"/>
      <c r="T57" s="106" t="n">
        <v>0</v>
      </c>
      <c r="U57" s="106" t="n">
        <v>0</v>
      </c>
      <c r="V57" s="106" t="n">
        <v>0</v>
      </c>
    </row>
    <row r="58" ht="12.95" customHeight="1" s="37">
      <c r="A58" s="103">
        <f>A25</f>
        <v/>
      </c>
      <c r="B58" s="103" t="n"/>
      <c r="C58" s="103" t="n"/>
      <c r="D58" s="103" t="n"/>
      <c r="E58" s="103" t="n"/>
      <c r="F58" s="103" t="n"/>
      <c r="G58" s="103" t="n"/>
      <c r="H58" s="103" t="n"/>
      <c r="I58" s="103" t="n"/>
      <c r="J58" s="103" t="n"/>
      <c r="K58" s="103" t="n"/>
      <c r="L58" s="103" t="n"/>
      <c r="M58" s="103" t="n"/>
      <c r="N58" s="103" t="n"/>
      <c r="O58" s="103" t="n"/>
      <c r="P58" s="103" t="n"/>
      <c r="Q58" s="103" t="n"/>
      <c r="R58" s="103" t="n"/>
      <c r="S58" s="55" t="n"/>
      <c r="T58" s="55" t="n"/>
      <c r="U58" s="55" t="n"/>
      <c r="V58" s="55" t="n"/>
    </row>
    <row r="59" ht="36" customHeight="1" s="37">
      <c r="A59" s="105" t="inlineStr">
        <is>
          <t>Progetto esecutivo meccanico</t>
        </is>
      </c>
      <c r="B59" s="57" t="n"/>
      <c r="C59" s="58" t="n"/>
      <c r="D59" s="59" t="n">
        <v>1</v>
      </c>
      <c r="E59" s="60" t="n">
        <v>650</v>
      </c>
      <c r="F59" s="60">
        <f>D59*E59</f>
        <v/>
      </c>
      <c r="G59" s="61" t="n">
        <v>0</v>
      </c>
      <c r="H59" s="60">
        <f>F59*(1-G59)</f>
        <v/>
      </c>
      <c r="I59" s="62" t="n">
        <v>0</v>
      </c>
      <c r="J59" s="60">
        <f>H59*I59</f>
        <v/>
      </c>
      <c r="K59" s="62" t="n">
        <v>0</v>
      </c>
      <c r="L59" s="60">
        <f>(H59+J59)*K59</f>
        <v/>
      </c>
      <c r="M59" s="62" t="n">
        <v>0.12</v>
      </c>
      <c r="N59" s="60">
        <f>(H59+J59+L59)*M59</f>
        <v/>
      </c>
      <c r="O59" s="60">
        <f>H59+J59+L59+N59</f>
        <v/>
      </c>
      <c r="P59" s="63" t="n">
        <v>0</v>
      </c>
      <c r="Q59" s="64">
        <f>O59*P59</f>
        <v/>
      </c>
      <c r="R59" s="96" t="n">
        <v>7500</v>
      </c>
      <c r="S59" s="66" t="n"/>
      <c r="T59" s="106" t="n">
        <v>0</v>
      </c>
      <c r="U59" s="106" t="n">
        <v>0</v>
      </c>
      <c r="V59" s="106" t="n">
        <v>0</v>
      </c>
    </row>
    <row r="60" ht="36" customHeight="1" s="37">
      <c r="A60" s="105" t="inlineStr">
        <is>
          <t>Progetto esecutivo elettrico</t>
        </is>
      </c>
      <c r="B60" s="57" t="n"/>
      <c r="C60" s="58" t="n"/>
      <c r="D60" s="59" t="n">
        <v>1</v>
      </c>
      <c r="E60" s="60" t="n">
        <v>650</v>
      </c>
      <c r="F60" s="60">
        <f>D60*E60</f>
        <v/>
      </c>
      <c r="G60" s="61" t="n">
        <v>0</v>
      </c>
      <c r="H60" s="60">
        <f>F60*(1-G60)</f>
        <v/>
      </c>
      <c r="I60" s="62" t="n">
        <v>0</v>
      </c>
      <c r="J60" s="60">
        <f>H60*I60</f>
        <v/>
      </c>
      <c r="K60" s="62" t="n">
        <v>0</v>
      </c>
      <c r="L60" s="60">
        <f>(H60+J60)*K60</f>
        <v/>
      </c>
      <c r="M60" s="62" t="n">
        <v>0.12</v>
      </c>
      <c r="N60" s="60">
        <f>(H60+J60+L60)*M60</f>
        <v/>
      </c>
      <c r="O60" s="60">
        <f>H60+J60+L60+N60</f>
        <v/>
      </c>
      <c r="P60" s="63" t="n">
        <v>0</v>
      </c>
      <c r="Q60" s="64">
        <f>O60*P60</f>
        <v/>
      </c>
      <c r="R60" s="109" t="n"/>
      <c r="S60" s="66" t="n"/>
      <c r="T60" s="106" t="n">
        <v>0</v>
      </c>
      <c r="U60" s="106" t="n">
        <v>0</v>
      </c>
      <c r="V60" s="106" t="n">
        <v>0</v>
      </c>
    </row>
    <row r="61" ht="36" customHeight="1" s="37">
      <c r="A61" s="105" t="inlineStr">
        <is>
          <t>Direzione lavori e assistenza al collaudo</t>
        </is>
      </c>
      <c r="B61" s="57" t="n"/>
      <c r="C61" s="58" t="n"/>
      <c r="D61" s="59" t="n">
        <v>1</v>
      </c>
      <c r="E61" s="60" t="n">
        <v>650</v>
      </c>
      <c r="F61" s="60">
        <f>D61*E61</f>
        <v/>
      </c>
      <c r="G61" s="61" t="n">
        <v>0</v>
      </c>
      <c r="H61" s="60">
        <f>F61*(1-G61)</f>
        <v/>
      </c>
      <c r="I61" s="62" t="n">
        <v>0</v>
      </c>
      <c r="J61" s="60">
        <f>H61*I61</f>
        <v/>
      </c>
      <c r="K61" s="62" t="n">
        <v>0</v>
      </c>
      <c r="L61" s="60">
        <f>(H61+J61)*K61</f>
        <v/>
      </c>
      <c r="M61" s="62" t="n">
        <v>0.12</v>
      </c>
      <c r="N61" s="60">
        <f>(H61+J61+L61)*M61</f>
        <v/>
      </c>
      <c r="O61" s="60">
        <f>H61+J61+L61+N61</f>
        <v/>
      </c>
      <c r="P61" s="63" t="n">
        <v>0</v>
      </c>
      <c r="Q61" s="64">
        <f>O61*P61</f>
        <v/>
      </c>
      <c r="R61" s="110" t="n"/>
      <c r="S61" s="66" t="n"/>
      <c r="T61" s="106" t="n">
        <v>0</v>
      </c>
      <c r="U61" s="106" t="n">
        <v>0</v>
      </c>
      <c r="V61" s="106" t="n">
        <v>0</v>
      </c>
    </row>
    <row r="62" ht="12.95" customHeight="1" s="37">
      <c r="A62" s="103" t="inlineStr">
        <is>
          <t xml:space="preserve">  ━━━━━━  GESTIONE CONTO TERMICO 3.0  ━━━━━━</t>
        </is>
      </c>
      <c r="B62" s="103" t="n"/>
      <c r="C62" s="103" t="n"/>
      <c r="D62" s="103" t="n"/>
      <c r="E62" s="103" t="n"/>
      <c r="F62" s="103" t="n"/>
      <c r="G62" s="103" t="n"/>
      <c r="H62" s="103" t="n"/>
      <c r="I62" s="103" t="n"/>
      <c r="J62" s="103" t="n"/>
      <c r="K62" s="103" t="n"/>
      <c r="L62" s="103" t="n"/>
      <c r="M62" s="103" t="n"/>
      <c r="N62" s="103" t="n"/>
      <c r="O62" s="103" t="n"/>
      <c r="P62" s="103" t="n"/>
      <c r="Q62" s="103" t="n"/>
      <c r="R62" s="103" t="n"/>
      <c r="S62" s="55" t="n"/>
      <c r="T62" s="55" t="n"/>
      <c r="U62" s="55" t="n"/>
      <c r="V62" s="55" t="n"/>
    </row>
    <row r="63" ht="36" customHeight="1" s="37" thickBot="1">
      <c r="A63" s="77" t="inlineStr">
        <is>
          <t>Gestione Incentivo Conto Termico 3.0</t>
        </is>
      </c>
      <c r="B63" s="57" t="n"/>
      <c r="C63" s="58" t="inlineStr">
        <is>
          <t>Assistenza tecnica specifica per ottenimento Incentivo Conto Termico 3.0
Inserimento pratica su Portaltermico GSE
Supporto post-erogazione incentivo e assistenza in caso di verifiche
Coordinamento burocratico tra committente e installatore</t>
        </is>
      </c>
      <c r="D63" s="59" t="n">
        <v>1</v>
      </c>
      <c r="E63" s="60" t="n">
        <v>650</v>
      </c>
      <c r="F63" s="60">
        <f>D63*E63</f>
        <v/>
      </c>
      <c r="G63" s="61" t="n">
        <v>0</v>
      </c>
      <c r="H63" s="60">
        <f>F63*(1-G63)</f>
        <v/>
      </c>
      <c r="I63" s="62" t="n">
        <v>0</v>
      </c>
      <c r="J63" s="60">
        <f>H63*I63</f>
        <v/>
      </c>
      <c r="K63" s="62" t="n">
        <v>0</v>
      </c>
      <c r="L63" s="60">
        <f>(H63+J63)*K63</f>
        <v/>
      </c>
      <c r="M63" s="62" t="n">
        <v>0.12</v>
      </c>
      <c r="N63" s="60">
        <f>(H63+J63+L63)*M63</f>
        <v/>
      </c>
      <c r="O63" s="60">
        <f>H63+J63+L63+N63</f>
        <v/>
      </c>
      <c r="P63" s="63" t="n">
        <v>0</v>
      </c>
      <c r="Q63" s="64">
        <f>O63*P63</f>
        <v/>
      </c>
      <c r="R63" s="96" t="n">
        <v>3500</v>
      </c>
      <c r="S63" s="66" t="inlineStr">
        <is>
          <t>〰️ stima coordinamento pratiche — oneri tecnici a parte</t>
        </is>
      </c>
      <c r="T63" s="106" t="n">
        <v>0</v>
      </c>
      <c r="U63" s="106" t="n">
        <v>0</v>
      </c>
      <c r="V63" s="106" t="n">
        <v>0</v>
      </c>
    </row>
    <row r="64" ht="15" customHeight="1" s="37" thickBot="1">
      <c r="A64" s="89" t="inlineStr">
        <is>
          <t xml:space="preserve">  SUBTOTALE LAVORI — IVA esclusa</t>
        </is>
      </c>
      <c r="B64" s="89">
        <f>A53</f>
        <v/>
      </c>
      <c r="C64" s="89" t="n"/>
      <c r="D64" s="89" t="n"/>
      <c r="E64" s="89" t="n"/>
      <c r="F64" s="89" t="n"/>
      <c r="G64" s="89" t="n"/>
      <c r="H64" s="89" t="n"/>
      <c r="I64" s="89" t="n"/>
      <c r="J64" s="89" t="n"/>
      <c r="K64" s="89" t="n"/>
      <c r="L64" s="89" t="n"/>
      <c r="M64" s="89" t="n"/>
      <c r="N64" s="89" t="n"/>
      <c r="O64" s="89" t="n"/>
      <c r="P64" s="89" t="n"/>
      <c r="Q64" s="89" t="n"/>
      <c r="R64" s="97">
        <f>SUM(R55:R63)</f>
        <v/>
      </c>
      <c r="S64" s="108" t="n"/>
      <c r="T64" s="108" t="n"/>
      <c r="U64" s="108" t="n"/>
      <c r="V64" s="108" t="n"/>
    </row>
    <row r="65" ht="30" customHeight="1" s="37" thickBot="1">
      <c r="A65" s="91" t="inlineStr">
        <is>
          <t xml:space="preserve">  TOTALE LAVORI — IVA esclusa</t>
        </is>
      </c>
      <c r="B65" s="92" t="n"/>
      <c r="C65" s="92" t="n"/>
      <c r="D65" s="92" t="n"/>
      <c r="E65" s="92" t="n"/>
      <c r="F65" s="92" t="n"/>
      <c r="G65" s="92" t="n"/>
      <c r="H65" s="92" t="n"/>
      <c r="I65" s="92" t="n"/>
      <c r="J65" s="92" t="n"/>
      <c r="K65" s="92" t="n"/>
      <c r="L65" s="92" t="n"/>
      <c r="M65" s="92" t="n"/>
      <c r="N65" s="92" t="n"/>
      <c r="O65" s="92" t="n"/>
      <c r="P65" s="92" t="n"/>
      <c r="Q65" s="92" t="n"/>
      <c r="R65" s="98">
        <f>SUM(R24,R52,R64)</f>
        <v/>
      </c>
      <c r="S65" s="92" t="n"/>
      <c r="T65" s="111">
        <f>SUM(T24,T52,T64)</f>
        <v/>
      </c>
      <c r="U65" s="111">
        <f>SUM(U24,U52,U64)</f>
        <v/>
      </c>
      <c r="V65" s="111">
        <f>SUM(V24,V52,V64)</f>
        <v/>
      </c>
    </row>
    <row r="66" ht="36" customHeight="1" s="37">
      <c r="A66" s="78" t="inlineStr">
        <is>
          <t>Connessione E-Distribuzione — preventivo e iter allacciamento</t>
        </is>
      </c>
      <c r="B66" s="69" t="inlineStr">
        <is>
          <t>E-DISTRIBUZIONE S.p.A.</t>
        </is>
      </c>
      <c r="C66" s="70" t="inlineStr">
        <is>
          <t>Preventivo connessione BT trifase, adeguamento protezione interfaccia (SPI se &gt; soglia), iter autorizzativo stimato 60-90 giorni. IMPORTO DA PREVENTIVO FORMALE — stimato a upper bound prudenziale.</t>
        </is>
      </c>
      <c r="D66" s="71" t="n">
        <v>1</v>
      </c>
      <c r="E66" s="72" t="n">
        <v>2500</v>
      </c>
      <c r="F66" s="72">
        <f>D66*E66</f>
        <v/>
      </c>
      <c r="G66" s="73" t="n">
        <v>0</v>
      </c>
      <c r="H66" s="72">
        <f>F66*(1-G66)</f>
        <v/>
      </c>
      <c r="I66" s="62" t="n">
        <v>0</v>
      </c>
      <c r="J66" s="72" t="n">
        <v>0</v>
      </c>
      <c r="K66" s="62" t="n">
        <v>0</v>
      </c>
      <c r="L66" s="72" t="n">
        <v>0</v>
      </c>
      <c r="M66" s="62" t="n">
        <v>0</v>
      </c>
      <c r="N66" s="72">
        <f>H66*M66</f>
        <v/>
      </c>
      <c r="O66" s="72">
        <f>H66+N66</f>
        <v/>
      </c>
      <c r="P66" s="63" t="n">
        <v>0</v>
      </c>
      <c r="Q66" s="74">
        <f>O66*P66</f>
        <v/>
      </c>
      <c r="R66" s="96">
        <f>O66+Q66</f>
        <v/>
      </c>
      <c r="S66" s="75" t="inlineStr">
        <is>
          <t>⚠️ AZIONE IMMEDIATA: richiedere preventivo E-Distribuzione — il tempo di connessione vincola la data di entrata in esercizio</t>
        </is>
      </c>
      <c r="T66" s="107" t="n">
        <v>0</v>
      </c>
      <c r="U66" s="107" t="n">
        <v>0</v>
      </c>
      <c r="V66" s="107" t="n">
        <v>0</v>
      </c>
    </row>
  </sheetData>
  <mergeCells count="11">
    <mergeCell ref="M2:R2"/>
    <mergeCell ref="A4:H4"/>
    <mergeCell ref="A2:L2"/>
    <mergeCell ref="A53:R53"/>
    <mergeCell ref="R59:R61"/>
    <mergeCell ref="A25:R25"/>
    <mergeCell ref="S2:V2"/>
    <mergeCell ref="A1:R1"/>
    <mergeCell ref="A5:R5"/>
    <mergeCell ref="R55:R57"/>
    <mergeCell ref="A50:R5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pane ySplit="4" topLeftCell="A11" activePane="bottomLeft" state="frozen"/>
      <selection pane="bottomLeft" activeCell="B6" sqref="B6"/>
    </sheetView>
  </sheetViews>
  <sheetFormatPr baseColWidth="8" defaultRowHeight="15"/>
  <cols>
    <col width="38" customWidth="1" style="37" min="1" max="1"/>
    <col width="16" customWidth="1" style="37" min="2" max="4"/>
    <col width="45" customWidth="1" style="37" min="5" max="5"/>
    <col width="20" customWidth="1" style="37" min="6" max="6"/>
  </cols>
  <sheetData>
    <row r="1" ht="21.95" customHeight="1" s="37">
      <c r="A1" s="42" t="inlineStr">
        <is>
          <t xml:space="preserve">  RIEPILOGO — ECO SHOPPER / 2WIN SRL — Stima Preliminare Aprile 2026</t>
        </is>
      </c>
    </row>
    <row r="2" ht="15.95" customHeight="1" s="37">
      <c r="A2" s="39" t="inlineStr">
        <is>
          <t xml:space="preserve">  PREZZI AL CLIENTE FINALE — IVA esclusa  |  Oneri professionali NON inclusi (stima +8÷10%)  |  Documento di interfaccia Progettista ↔ Installatore</t>
        </is>
      </c>
    </row>
    <row r="4" ht="27.95" customHeight="1" s="37">
      <c r="A4" s="4" t="inlineStr">
        <is>
          <t>Voce / Indicatore</t>
        </is>
      </c>
      <c r="B4" s="5" t="inlineStr">
        <is>
          <t>Scenario A
FV 25 kWp</t>
        </is>
      </c>
      <c r="C4" s="5" t="inlineStr">
        <is>
          <t>Scenario B
PDC sola</t>
        </is>
      </c>
      <c r="D4" s="5" t="inlineStr">
        <is>
          <t>Scenario C
FV 35+PDC</t>
        </is>
      </c>
      <c r="E4" s="5" t="inlineStr">
        <is>
          <t>Note e assunzioni principali</t>
        </is>
      </c>
      <c r="F4" s="5" t="inlineStr">
        <is>
          <t>Benchmark mercato</t>
        </is>
      </c>
    </row>
    <row r="5" ht="14.1" customHeight="1" s="37">
      <c r="A5" s="40" t="inlineStr">
        <is>
          <t xml:space="preserve">  1.  INVESTIMENTO TOTALE (IVA esclusa, oneri professionali esclusi)</t>
        </is>
      </c>
    </row>
    <row r="6" ht="18" customHeight="1" s="37">
      <c r="A6" s="6" t="inlineStr">
        <is>
          <t>SUBTOTALE LAVORI</t>
        </is>
      </c>
      <c r="B6" s="7">
        <f>SC_A_FV25!R26</f>
        <v/>
      </c>
      <c r="C6" s="7">
        <f>SC_B_PDC!R31</f>
        <v/>
      </c>
      <c r="D6" s="7">
        <f>SC_C_FULL!R52</f>
        <v/>
      </c>
      <c r="E6" s="8" t="inlineStr">
        <is>
          <t>Da fogli COMPUTO — formule dinamiche (si aggiornano modificando i fogli)</t>
        </is>
      </c>
    </row>
    <row r="7" ht="14.1" customHeight="1" s="37">
      <c r="A7" s="9" t="inlineStr">
        <is>
          <t>+ Oneri professionali (~9% stima)</t>
        </is>
      </c>
      <c r="B7" s="10">
        <f>SC_A_FV25!R26*0.09</f>
        <v/>
      </c>
      <c r="C7" s="10">
        <f>SC_B_PDC!R31*0.09</f>
        <v/>
      </c>
      <c r="D7" s="10">
        <f>SC_C_FULL!R52*0.09</f>
        <v/>
      </c>
      <c r="E7" s="11" t="inlineStr">
        <is>
          <t>⚠️ STIMA INDICATIVA — fatturata separatamente dal progettista</t>
        </is>
      </c>
    </row>
    <row r="8" ht="15.95" customHeight="1" s="37">
      <c r="A8" s="3" t="inlineStr">
        <is>
          <t>TOTALE INCLUSO ONERI PROFESSIONALI (indicativo)</t>
        </is>
      </c>
      <c r="B8" s="12">
        <f>SC_A_FV25!R26*1.09</f>
        <v/>
      </c>
      <c r="C8" s="12">
        <f>SC_B_PDC!R31*1.09</f>
        <v/>
      </c>
      <c r="D8" s="12">
        <f>SC_C_FULL!R52*1.09</f>
        <v/>
      </c>
      <c r="E8" s="13" t="inlineStr">
        <is>
          <t>Indicativo — oneri professionali non nel computo</t>
        </is>
      </c>
    </row>
    <row r="10" ht="14.1" customHeight="1" s="37">
      <c r="A10" s="40" t="inlineStr">
        <is>
          <t xml:space="preserve">  2.  BENCHMARK DI MERCATO — Italia 2025-2026  (prezzi al cliente finale, IVA esclusa)</t>
        </is>
      </c>
    </row>
    <row r="11" ht="26.1" customHeight="1" s="37">
      <c r="A11" s="14" t="inlineStr">
        <is>
          <t>Indicatore €/unità</t>
        </is>
      </c>
      <c r="B11" s="15" t="inlineStr">
        <is>
          <t>Nostra stima</t>
        </is>
      </c>
      <c r="C11" s="15" t="inlineStr">
        <is>
          <t>Benchmark LOW</t>
        </is>
      </c>
      <c r="D11" s="15" t="inlineStr">
        <is>
          <t>Benchmark HIGH</t>
        </is>
      </c>
      <c r="E11" s="15" t="inlineStr">
        <is>
          <t>Interpretazione</t>
        </is>
      </c>
      <c r="F11" s="15" t="inlineStr">
        <is>
          <t>Fonte</t>
        </is>
      </c>
    </row>
    <row r="12" ht="50.1" customHeight="1" s="37">
      <c r="A12" s="1" t="inlineStr">
        <is>
          <t>FV — €/kWp installato (Sc.A, 25 kWp)</t>
        </is>
      </c>
      <c r="B12" s="16">
        <f>SC_A_FV25!R26/25</f>
        <v/>
      </c>
      <c r="C12" s="17" t="n">
        <v>1100</v>
      </c>
      <c r="D12" s="18" t="n">
        <v>1650</v>
      </c>
      <c r="E12" s="19" t="inlineStr">
        <is>
          <t>La stima si posiziona nel range benchmark (basso-medio). Il gap rispetto al benchmark mid è attribuibile a prezzi panel netti installatore vs prezzi retail. Usare come floor per trattativa.</t>
        </is>
      </c>
      <c r="F12" s="2" t="inlineStr">
        <is>
          <t>RSE Rapporto FV 2024; ENEA; IRENA 2024</t>
        </is>
      </c>
    </row>
    <row r="13" ht="50.1" customHeight="1" s="37">
      <c r="A13" s="1" t="inlineStr">
        <is>
          <t>FV — €/kWp installato (Sc.C, 35 kWp)</t>
        </is>
      </c>
      <c r="B13" s="16">
        <f>SC_C_FULL!R52/35</f>
        <v/>
      </c>
      <c r="C13" s="17" t="n">
        <v>1050</v>
      </c>
      <c r="D13" s="18" t="n">
        <v>1550</v>
      </c>
      <c r="E13" s="19" t="inlineStr">
        <is>
          <t>Economie di cantiere con PDC: mobilizzazione unica, quadro condiviso → stima più competitiva.</t>
        </is>
      </c>
      <c r="F13" s="2" t="inlineStr">
        <is>
          <t>RSE/IRENA 2024</t>
        </is>
      </c>
    </row>
    <row r="14" ht="50.1" customHeight="1" s="37">
      <c r="A14" s="1" t="inlineStr">
        <is>
          <t>PDC aria-acqua installata — €/kW_th
(Pdesignh 44 kW EN14825)</t>
        </is>
      </c>
      <c r="B14" s="16">
        <f>SC_B_PDC!R31/44</f>
        <v/>
      </c>
      <c r="C14" s="17" t="n">
        <v>750</v>
      </c>
      <c r="D14" s="18" t="n">
        <v>1400</v>
      </c>
      <c r="E14" s="19" t="inlineStr">
        <is>
          <t>Include demolizione totale C.T. + rifacimento idraulico completo: questo sposta verso il range alto. Benchmark low è per sostituzioni semplici (pdc su impianto OK). La nostra stima è appropriata per la complessità del caso.</t>
        </is>
      </c>
      <c r="F14" s="2" t="inlineStr">
        <is>
          <t>ENEA 2024; IEA Heat Pumps 2024; prezzi installatori IT</t>
        </is>
      </c>
    </row>
    <row r="16" ht="14.1" customHeight="1" s="37">
      <c r="A16" s="40" t="inlineStr">
        <is>
          <t xml:space="preserve">  3.  RISPARMIO ANNUO E INDICATORI ECONOMICI  (IVA esclusa, prezzi netti SRL)</t>
        </is>
      </c>
    </row>
    <row r="17" ht="15.95" customHeight="1" s="37">
      <c r="A17" s="20" t="inlineStr">
        <is>
          <t>Voce</t>
        </is>
      </c>
      <c r="B17" s="21" t="inlineStr">
        <is>
          <t>Sc.A FV 25kWp</t>
        </is>
      </c>
      <c r="C17" s="21" t="inlineStr">
        <is>
          <t>Sc.B PDC</t>
        </is>
      </c>
      <c r="D17" s="21" t="inlineStr">
        <is>
          <t>Sc.C Full</t>
        </is>
      </c>
      <c r="E17" s="21" t="inlineStr">
        <is>
          <t>Note</t>
        </is>
      </c>
      <c r="F17" s="21" t="inlineStr">
        <is>
          <t>Incertezza</t>
        </is>
      </c>
    </row>
    <row r="18" ht="14.1" customHeight="1" s="37">
      <c r="A18" s="22" t="inlineStr">
        <is>
          <t>Gas eliminato (Hera: 3.685 Smc/a × 0,863 + quota fissa)</t>
        </is>
      </c>
      <c r="B18" s="112" t="n">
        <v>0</v>
      </c>
      <c r="C18" s="112" t="n">
        <v>3829</v>
      </c>
      <c r="D18" s="112" t="n">
        <v>3829</v>
      </c>
      <c r="E18" s="24" t="inlineStr">
        <is>
          <t>Da bollette reali Hera Comm 2025-26</t>
        </is>
      </c>
      <c r="F18" s="25" t="inlineStr">
        <is>
          <t>✅ bassa</t>
        </is>
      </c>
    </row>
    <row r="19" ht="14.1" customHeight="1" s="37">
      <c r="A19" s="26" t="inlineStr">
        <is>
          <t>El. aggiuntiva PDC (SCOP_eff 3,97)</t>
        </is>
      </c>
      <c r="B19" s="113" t="n">
        <v>0</v>
      </c>
      <c r="C19" s="113" t="n">
        <v>-2418</v>
      </c>
      <c r="D19" s="113" t="n">
        <v>-2418</v>
      </c>
      <c r="E19" s="28" t="inlineStr">
        <is>
          <t>8.337 kWh × 0,29 €/kWh netto SRL</t>
        </is>
      </c>
      <c r="F19" s="29" t="inlineStr">
        <is>
          <t>〰️ media</t>
        </is>
      </c>
    </row>
    <row r="20" ht="14.1" customHeight="1" s="37">
      <c r="A20" s="22" t="inlineStr">
        <is>
          <t>FV autoconsumato (c_el = 0,29 €/kWh)</t>
        </is>
      </c>
      <c r="B20" s="112" t="n">
        <v>6731</v>
      </c>
      <c r="C20" s="112" t="n">
        <v>0</v>
      </c>
      <c r="D20" s="112" t="n">
        <v>8318</v>
      </c>
      <c r="E20" s="24" t="inlineStr">
        <is>
          <t>Sc.A 23.211 kWh; Sc.C 28.683 kWh</t>
        </is>
      </c>
      <c r="F20" s="25" t="inlineStr">
        <is>
          <t>〰️ alta (cooling non misurato)</t>
        </is>
      </c>
    </row>
    <row r="21" ht="14.1" customHeight="1" s="37">
      <c r="A21" s="26" t="inlineStr">
        <is>
          <t>FV esportato (RID stimato 0,09 €/kWh)</t>
        </is>
      </c>
      <c r="B21" s="113" t="n">
        <v>1176</v>
      </c>
      <c r="C21" s="113" t="n">
        <v>0</v>
      </c>
      <c r="D21" s="113" t="n">
        <v>2112</v>
      </c>
      <c r="E21" s="28" t="inlineStr">
        <is>
          <t>〰️ stima GSE — soggetto a revisioni</t>
        </is>
      </c>
      <c r="F21" s="29" t="inlineStr">
        <is>
          <t>〰️ alta</t>
        </is>
      </c>
    </row>
    <row r="22" ht="14.1" customHeight="1" s="37">
      <c r="A22" s="30" t="inlineStr">
        <is>
          <t>RISPARMIO NETTO ANNO 1 (€/anno)</t>
        </is>
      </c>
      <c r="B22" s="114" t="n">
        <v>7907</v>
      </c>
      <c r="C22" s="114" t="n">
        <v>1411</v>
      </c>
      <c r="D22" s="114" t="n">
        <v>12239</v>
      </c>
      <c r="E22" s="8" t="n"/>
      <c r="F22" s="32" t="n"/>
    </row>
    <row r="23" ht="14.1" customHeight="1" s="37">
      <c r="A23" s="26" t="inlineStr">
        <is>
          <t>Payback semplice (anni)</t>
        </is>
      </c>
      <c r="B23" s="33" t="inlineStr">
        <is>
          <t>3,3</t>
        </is>
      </c>
      <c r="C23" s="33" t="inlineStr">
        <is>
          <t>23,5</t>
        </is>
      </c>
      <c r="D23" s="33" t="inlineStr">
        <is>
          <t>6,6</t>
        </is>
      </c>
      <c r="E23" s="28" t="inlineStr">
        <is>
          <t>Con CT 3.0: Sc.B→~13a, Sc.C→~4,5a</t>
        </is>
      </c>
      <c r="F23" s="34" t="n"/>
    </row>
    <row r="24" ht="14.1" customHeight="1" s="37">
      <c r="A24" s="22" t="inlineStr">
        <is>
          <t>VAN 20 anni r=5% g=2% (€)</t>
        </is>
      </c>
      <c r="B24" s="112" t="n">
        <v>91600</v>
      </c>
      <c r="C24" s="112" t="n">
        <v>-17500</v>
      </c>
      <c r="D24" s="112" t="n">
        <v>103600</v>
      </c>
      <c r="E24" s="24" t="inlineStr">
        <is>
          <t>F=14,88; valore orientativo</t>
        </is>
      </c>
      <c r="F24" s="35" t="n"/>
    </row>
    <row r="25" ht="14.1" customHeight="1" s="37">
      <c r="A25" s="26" t="inlineStr">
        <is>
          <t>VAN 20a CON CT 3.0 PDC (€)</t>
        </is>
      </c>
      <c r="B25" s="33" t="inlineStr">
        <is>
          <t>n.a.</t>
        </is>
      </c>
      <c r="C25" s="113" t="n">
        <v>-2500</v>
      </c>
      <c r="D25" s="113" t="n">
        <v>118600</v>
      </c>
      <c r="E25" s="28" t="inlineStr">
        <is>
          <t>CT 3.0 stima ~15.000 € su 5 anni</t>
        </is>
      </c>
      <c r="F25" s="34" t="n"/>
    </row>
    <row r="27" ht="14.1" customHeight="1" s="37">
      <c r="A27" s="40" t="inlineStr">
        <is>
          <t xml:space="preserve">  4.  CONTO TERMICO 3.0 — STIMA INCENTIVO PDC (Scenari B e C)</t>
        </is>
      </c>
    </row>
    <row r="28" ht="12.95" customHeight="1" s="37">
      <c r="A28" s="22" t="inlineStr">
        <is>
          <t>Apparecchiatura</t>
        </is>
      </c>
      <c r="B28" s="38" t="inlineStr">
        <is>
          <t>2× RHOSS ElectaMAXI-ECO THAITI 122 P0 — R32 — A+++ bassa T</t>
        </is>
      </c>
    </row>
    <row r="29" ht="12.95" customHeight="1" s="37">
      <c r="A29" s="26" t="inlineStr">
        <is>
          <t>Ci (incentivo unitario)</t>
        </is>
      </c>
      <c r="B29" s="41" t="inlineStr">
        <is>
          <t>0,06 €/kWh (zona E, A+++ bassa T)</t>
        </is>
      </c>
    </row>
    <row r="30" ht="12.95" customHeight="1" s="37">
      <c r="A30" s="22" t="inlineStr">
        <is>
          <t>Pdesignh totale</t>
        </is>
      </c>
      <c r="B30" s="38" t="inlineStr">
        <is>
          <t>44 kW EN 14825</t>
        </is>
      </c>
    </row>
    <row r="31" ht="12.95" customHeight="1" s="37">
      <c r="A31" s="26" t="inlineStr">
        <is>
          <t>Quf stimato</t>
        </is>
      </c>
      <c r="B31" s="41" t="inlineStr">
        <is>
          <t>1.700 h/anno equivalenti (stima)</t>
        </is>
      </c>
    </row>
    <row r="32" ht="12.95" customHeight="1" s="37">
      <c r="A32" s="22" t="inlineStr">
        <is>
          <t>kp fattore efficienza GSE</t>
        </is>
      </c>
      <c r="B32" s="38" t="inlineStr">
        <is>
          <t>1,27 (stima zona E, A+++)</t>
        </is>
      </c>
    </row>
    <row r="33" ht="12.95" customHeight="1" s="37">
      <c r="A33" s="26" t="inlineStr">
        <is>
          <t>Ei stimato</t>
        </is>
      </c>
      <c r="B33" s="41" t="inlineStr">
        <is>
          <t>44 × 1.700 × 1,27 = 94.996 kWh/anno</t>
        </is>
      </c>
    </row>
    <row r="34" ht="12.95" customHeight="1" s="37">
      <c r="A34" s="22" t="inlineStr">
        <is>
          <t>Cap 55% investimento PDC amm.</t>
        </is>
      </c>
      <c r="B34" s="38" t="inlineStr">
        <is>
          <t>35.000 × 0,55 = 19.250 €</t>
        </is>
      </c>
    </row>
    <row r="35" ht="12.95" customHeight="1" s="37">
      <c r="A35" s="36" t="inlineStr">
        <is>
          <t>INCENTIVO ADOTTATO (min tra le due)</t>
        </is>
      </c>
      <c r="B35" s="43" t="inlineStr">
        <is>
          <t>~15.000 € STIMA ±30% — calcolo formale GSE obbligatorio</t>
        </is>
      </c>
    </row>
    <row r="36" ht="12.95" customHeight="1" s="37">
      <c r="A36" s="22" t="inlineStr">
        <is>
          <t>Rate annue (5 anni)</t>
        </is>
      </c>
      <c r="B36" s="38" t="inlineStr">
        <is>
          <t>~3.000 €/anno</t>
        </is>
      </c>
    </row>
  </sheetData>
  <mergeCells count="15">
    <mergeCell ref="B30:F30"/>
    <mergeCell ref="A2:F2"/>
    <mergeCell ref="A16:F16"/>
    <mergeCell ref="B29:F29"/>
    <mergeCell ref="A10:F10"/>
    <mergeCell ref="B34:F34"/>
    <mergeCell ref="B33:F33"/>
    <mergeCell ref="A1:F1"/>
    <mergeCell ref="A5:F5"/>
    <mergeCell ref="B28:F28"/>
    <mergeCell ref="A27:F27"/>
    <mergeCell ref="B31:F31"/>
    <mergeCell ref="B36:F36"/>
    <mergeCell ref="B32:F32"/>
    <mergeCell ref="B35:F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2026-04-11T14:49:50Z</dcterms:created>
  <dcterms:modified xsi:type="dcterms:W3CDTF">2026-04-16T14:28:11Z</dcterms:modified>
  <cp:lastModifiedBy>Alberto Nobile</cp:lastModifiedBy>
</cp:coreProperties>
</file>